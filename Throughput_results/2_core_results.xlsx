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aper 2\Throughput_results\"/>
    </mc:Choice>
  </mc:AlternateContent>
  <xr:revisionPtr revIDLastSave="0" documentId="13_ncr:1_{415BDF61-089A-4046-8BEF-DFFFFAE7191C}" xr6:coauthVersionLast="47" xr6:coauthVersionMax="47" xr10:uidLastSave="{00000000-0000-0000-0000-000000000000}"/>
  <bookViews>
    <workbookView xWindow="25695" yWindow="0" windowWidth="26010" windowHeight="21705" xr2:uid="{0B0BF5A1-8E3C-4532-A1DA-F769A83AE7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1" l="1"/>
  <c r="H52" i="1"/>
  <c r="I42" i="1"/>
  <c r="H42" i="1"/>
  <c r="I32" i="1"/>
  <c r="H32" i="1"/>
  <c r="I22" i="1"/>
  <c r="H22" i="1"/>
  <c r="I12" i="1"/>
  <c r="H12" i="1"/>
  <c r="I2" i="1"/>
  <c r="H2" i="1"/>
</calcChain>
</file>

<file path=xl/sharedStrings.xml><?xml version="1.0" encoding="utf-8"?>
<sst xmlns="http://schemas.openxmlformats.org/spreadsheetml/2006/main" count="9" uniqueCount="9">
  <si>
    <t>Sec</t>
  </si>
  <si>
    <t>Core Count</t>
  </si>
  <si>
    <t>Packet Size (Bytes)</t>
  </si>
  <si>
    <t>TX pps</t>
  </si>
  <si>
    <t>RX pps</t>
  </si>
  <si>
    <t>TX Mbps</t>
  </si>
  <si>
    <t>RX Mbps</t>
  </si>
  <si>
    <t>RX Gbps (Calculated)</t>
  </si>
  <si>
    <t>pps /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</si>
</sst>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3" fontId="0" fillId="0" borderId="5" xfId="0" applyNumberForma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3" fontId="0" fillId="0" borderId="7" xfId="0" applyNumberFormat="1" applyBorder="1" applyAlignment="1">
      <alignment horizontal="center" vertical="center" wrapText="1"/>
    </xf>
    <xf numFmtId="3" fontId="0" fillId="0" borderId="9" xfId="0" applyNumberFormat="1" applyBorder="1" applyAlignment="1">
      <alignment horizontal="center" vertical="center" wrapText="1"/>
    </xf>
    <xf numFmtId="3" fontId="0" fillId="0" borderId="0" xfId="0" applyNumberFormat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D17D-CF7A-40A5-A47A-CF1D5300D628}">
  <dimension ref="A1:I61"/>
  <sheetViews>
    <sheetView tabSelected="1" topLeftCell="A16" workbookViewId="0">
      <selection activeCell="N25" sqref="N25"/>
    </sheetView>
  </sheetViews>
  <sheetFormatPr defaultRowHeight="15" x14ac:dyDescent="0.25"/>
  <cols>
    <col min="2" max="2" width="16.85546875" customWidth="1"/>
    <col min="3" max="3" width="20.5703125" customWidth="1"/>
    <col min="4" max="4" width="16.42578125" customWidth="1"/>
    <col min="5" max="5" width="14" customWidth="1"/>
    <col min="6" max="6" width="13.5703125" customWidth="1"/>
    <col min="7" max="7" width="14.5703125" customWidth="1"/>
    <col min="8" max="8" width="24.85546875" customWidth="1"/>
    <col min="9" max="9" width="2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</row>
    <row r="2" spans="1:9" x14ac:dyDescent="0.25">
      <c r="A2" s="4">
        <v>1</v>
      </c>
      <c r="B2" s="17">
        <v>2</v>
      </c>
      <c r="C2" s="17">
        <v>64</v>
      </c>
      <c r="D2" s="5">
        <v>53549056</v>
      </c>
      <c r="E2" s="5">
        <v>1877239</v>
      </c>
      <c r="F2" s="5">
        <v>35984</v>
      </c>
      <c r="G2" s="6">
        <v>1261</v>
      </c>
      <c r="H2" s="17">
        <f>AVERAGE(G2:G11)/1000</f>
        <v>1.2521</v>
      </c>
      <c r="I2" s="17">
        <f>AVERAGE(E2:E11)/B2</f>
        <v>932054.1</v>
      </c>
    </row>
    <row r="3" spans="1:9" x14ac:dyDescent="0.25">
      <c r="A3" s="4">
        <v>2</v>
      </c>
      <c r="B3" s="18"/>
      <c r="C3" s="18"/>
      <c r="D3" s="7">
        <v>52527936</v>
      </c>
      <c r="E3" s="7">
        <v>1842781</v>
      </c>
      <c r="F3" s="7">
        <v>35298</v>
      </c>
      <c r="G3" s="6">
        <v>1238</v>
      </c>
      <c r="H3" s="18"/>
      <c r="I3" s="18"/>
    </row>
    <row r="4" spans="1:9" x14ac:dyDescent="0.25">
      <c r="A4" s="4">
        <v>3</v>
      </c>
      <c r="B4" s="18"/>
      <c r="C4" s="18"/>
      <c r="D4" s="7">
        <v>53518176</v>
      </c>
      <c r="E4" s="7">
        <v>1875601</v>
      </c>
      <c r="F4" s="7">
        <v>35964</v>
      </c>
      <c r="G4" s="6">
        <v>1260</v>
      </c>
      <c r="H4" s="18"/>
      <c r="I4" s="18"/>
    </row>
    <row r="5" spans="1:9" x14ac:dyDescent="0.25">
      <c r="A5" s="4">
        <v>4</v>
      </c>
      <c r="B5" s="18"/>
      <c r="C5" s="18"/>
      <c r="D5" s="7">
        <v>53604256</v>
      </c>
      <c r="E5" s="7">
        <v>1879126</v>
      </c>
      <c r="F5" s="7">
        <v>36022</v>
      </c>
      <c r="G5" s="6">
        <v>1262</v>
      </c>
      <c r="H5" s="18"/>
      <c r="I5" s="18"/>
    </row>
    <row r="6" spans="1:9" x14ac:dyDescent="0.25">
      <c r="A6" s="4">
        <v>5</v>
      </c>
      <c r="B6" s="18"/>
      <c r="C6" s="18"/>
      <c r="D6" s="7">
        <v>52366720</v>
      </c>
      <c r="E6" s="7">
        <v>1843523</v>
      </c>
      <c r="F6" s="7">
        <v>35190</v>
      </c>
      <c r="G6" s="6">
        <v>1238</v>
      </c>
      <c r="H6" s="18"/>
      <c r="I6" s="18"/>
    </row>
    <row r="7" spans="1:9" x14ac:dyDescent="0.25">
      <c r="A7" s="4">
        <v>6</v>
      </c>
      <c r="B7" s="18"/>
      <c r="C7" s="18"/>
      <c r="D7" s="7">
        <v>53386464</v>
      </c>
      <c r="E7" s="7">
        <v>1889827</v>
      </c>
      <c r="F7" s="7">
        <v>35875</v>
      </c>
      <c r="G7" s="6">
        <v>1269</v>
      </c>
      <c r="H7" s="18"/>
      <c r="I7" s="18"/>
    </row>
    <row r="8" spans="1:9" x14ac:dyDescent="0.25">
      <c r="A8" s="4">
        <v>7</v>
      </c>
      <c r="B8" s="18"/>
      <c r="C8" s="18"/>
      <c r="D8" s="7">
        <v>52131072</v>
      </c>
      <c r="E8" s="7">
        <v>1845254</v>
      </c>
      <c r="F8" s="7">
        <v>35032</v>
      </c>
      <c r="G8" s="6">
        <v>1240</v>
      </c>
      <c r="H8" s="18"/>
      <c r="I8" s="18"/>
    </row>
    <row r="9" spans="1:9" x14ac:dyDescent="0.25">
      <c r="A9" s="4">
        <v>8</v>
      </c>
      <c r="B9" s="18"/>
      <c r="C9" s="20"/>
      <c r="D9" s="7">
        <v>53588736</v>
      </c>
      <c r="E9" s="7">
        <v>1882093</v>
      </c>
      <c r="F9" s="7">
        <v>36011</v>
      </c>
      <c r="G9" s="6">
        <v>1264</v>
      </c>
      <c r="H9" s="18"/>
      <c r="I9" s="18"/>
    </row>
    <row r="10" spans="1:9" x14ac:dyDescent="0.25">
      <c r="A10" s="4">
        <v>9</v>
      </c>
      <c r="B10" s="18"/>
      <c r="C10" s="20"/>
      <c r="D10" s="7">
        <v>53609984</v>
      </c>
      <c r="E10" s="7">
        <v>1865593</v>
      </c>
      <c r="F10" s="7">
        <v>36025</v>
      </c>
      <c r="G10" s="6">
        <v>1253</v>
      </c>
      <c r="H10" s="18"/>
      <c r="I10" s="18"/>
    </row>
    <row r="11" spans="1:9" x14ac:dyDescent="0.25">
      <c r="A11" s="8">
        <v>10</v>
      </c>
      <c r="B11" s="18"/>
      <c r="C11" s="21"/>
      <c r="D11" s="9">
        <v>52558944</v>
      </c>
      <c r="E11" s="9">
        <v>1840045</v>
      </c>
      <c r="F11" s="9">
        <v>35319</v>
      </c>
      <c r="G11" s="10">
        <v>1236</v>
      </c>
      <c r="H11" s="19"/>
      <c r="I11" s="19"/>
    </row>
    <row r="12" spans="1:9" x14ac:dyDescent="0.25">
      <c r="A12" s="4">
        <v>1</v>
      </c>
      <c r="B12" s="18"/>
      <c r="C12" s="17">
        <v>128</v>
      </c>
      <c r="D12" s="11">
        <v>51952416</v>
      </c>
      <c r="E12" s="12">
        <v>1915342</v>
      </c>
      <c r="F12" s="12">
        <v>61511</v>
      </c>
      <c r="G12" s="4">
        <v>2267</v>
      </c>
      <c r="H12" s="17">
        <f>AVERAGE(G12:G21)/1000</f>
        <v>2.2703000000000002</v>
      </c>
      <c r="I12" s="17">
        <f>AVERAGE(E12:E21)/B2</f>
        <v>958925.7</v>
      </c>
    </row>
    <row r="13" spans="1:9" x14ac:dyDescent="0.25">
      <c r="A13" s="4">
        <v>2</v>
      </c>
      <c r="B13" s="18"/>
      <c r="C13" s="18"/>
      <c r="D13" s="11">
        <v>51986624</v>
      </c>
      <c r="E13" s="12">
        <v>1910525</v>
      </c>
      <c r="F13" s="12">
        <v>61552</v>
      </c>
      <c r="G13" s="4">
        <v>2262</v>
      </c>
      <c r="H13" s="18"/>
      <c r="I13" s="18"/>
    </row>
    <row r="14" spans="1:9" x14ac:dyDescent="0.25">
      <c r="A14" s="4">
        <v>3</v>
      </c>
      <c r="B14" s="18"/>
      <c r="C14" s="18"/>
      <c r="D14" s="11">
        <v>52612928</v>
      </c>
      <c r="E14" s="12">
        <v>1933402</v>
      </c>
      <c r="F14" s="12">
        <v>62293</v>
      </c>
      <c r="G14" s="4">
        <v>2289</v>
      </c>
      <c r="H14" s="18"/>
      <c r="I14" s="18"/>
    </row>
    <row r="15" spans="1:9" x14ac:dyDescent="0.25">
      <c r="A15" s="4">
        <v>4</v>
      </c>
      <c r="B15" s="18"/>
      <c r="C15" s="18"/>
      <c r="D15" s="11">
        <v>52768256</v>
      </c>
      <c r="E15" s="12">
        <v>1943163</v>
      </c>
      <c r="F15" s="12">
        <v>62477</v>
      </c>
      <c r="G15" s="4">
        <v>2300</v>
      </c>
      <c r="H15" s="18"/>
      <c r="I15" s="18"/>
    </row>
    <row r="16" spans="1:9" x14ac:dyDescent="0.25">
      <c r="A16" s="4">
        <v>5</v>
      </c>
      <c r="B16" s="18"/>
      <c r="C16" s="18"/>
      <c r="D16" s="11">
        <v>51988672</v>
      </c>
      <c r="E16" s="12">
        <v>1911809</v>
      </c>
      <c r="F16" s="12">
        <v>61554</v>
      </c>
      <c r="G16" s="4">
        <v>2263</v>
      </c>
      <c r="H16" s="18"/>
      <c r="I16" s="18"/>
    </row>
    <row r="17" spans="1:9" x14ac:dyDescent="0.25">
      <c r="A17" s="4">
        <v>6</v>
      </c>
      <c r="B17" s="18"/>
      <c r="C17" s="18"/>
      <c r="D17" s="11">
        <v>52218656</v>
      </c>
      <c r="E17" s="12">
        <v>1918706</v>
      </c>
      <c r="F17" s="12">
        <v>61826</v>
      </c>
      <c r="G17" s="4">
        <v>2271</v>
      </c>
      <c r="H17" s="18"/>
      <c r="I17" s="18"/>
    </row>
    <row r="18" spans="1:9" x14ac:dyDescent="0.25">
      <c r="A18" s="4">
        <v>7</v>
      </c>
      <c r="B18" s="18"/>
      <c r="C18" s="18"/>
      <c r="D18" s="11">
        <v>52705056</v>
      </c>
      <c r="E18" s="12">
        <v>1920616</v>
      </c>
      <c r="F18" s="12">
        <v>62402</v>
      </c>
      <c r="G18" s="4">
        <v>2274</v>
      </c>
      <c r="H18" s="18"/>
      <c r="I18" s="18"/>
    </row>
    <row r="19" spans="1:9" x14ac:dyDescent="0.25">
      <c r="A19" s="4">
        <v>8</v>
      </c>
      <c r="B19" s="18"/>
      <c r="C19" s="20"/>
      <c r="D19" s="13">
        <v>51690400</v>
      </c>
      <c r="E19" s="11">
        <v>1881559</v>
      </c>
      <c r="F19" s="12">
        <v>61201</v>
      </c>
      <c r="G19" s="4">
        <v>2227</v>
      </c>
      <c r="H19" s="18"/>
      <c r="I19" s="18"/>
    </row>
    <row r="20" spans="1:9" x14ac:dyDescent="0.25">
      <c r="A20" s="4">
        <v>9</v>
      </c>
      <c r="B20" s="18"/>
      <c r="C20" s="20"/>
      <c r="D20" s="13">
        <v>52520512</v>
      </c>
      <c r="E20" s="11">
        <v>1923457</v>
      </c>
      <c r="F20" s="12">
        <v>62184</v>
      </c>
      <c r="G20" s="4">
        <v>2277</v>
      </c>
      <c r="H20" s="18"/>
      <c r="I20" s="18"/>
    </row>
    <row r="21" spans="1:9" x14ac:dyDescent="0.25">
      <c r="A21" s="8">
        <v>10</v>
      </c>
      <c r="B21" s="18"/>
      <c r="C21" s="21"/>
      <c r="D21" s="14">
        <v>52413088</v>
      </c>
      <c r="E21" s="15">
        <v>1919935</v>
      </c>
      <c r="F21" s="16">
        <v>62057</v>
      </c>
      <c r="G21" s="8">
        <v>2273</v>
      </c>
      <c r="H21" s="19"/>
      <c r="I21" s="19"/>
    </row>
    <row r="22" spans="1:9" x14ac:dyDescent="0.25">
      <c r="A22" s="4">
        <v>1</v>
      </c>
      <c r="B22" s="18"/>
      <c r="C22" s="17">
        <v>256</v>
      </c>
      <c r="D22" s="11">
        <v>36978240</v>
      </c>
      <c r="E22" s="12">
        <v>2024969</v>
      </c>
      <c r="F22" s="12">
        <v>81647</v>
      </c>
      <c r="G22" s="4">
        <v>4471</v>
      </c>
      <c r="H22" s="17">
        <f>AVERAGE(G22:G31)/1000</f>
        <v>4.4923000000000002</v>
      </c>
      <c r="I22" s="17">
        <f>AVERAGE(E22:E31)/B2</f>
        <v>1017389.15</v>
      </c>
    </row>
    <row r="23" spans="1:9" x14ac:dyDescent="0.25">
      <c r="A23" s="4">
        <v>2</v>
      </c>
      <c r="B23" s="18"/>
      <c r="C23" s="18"/>
      <c r="D23" s="11">
        <v>36712608</v>
      </c>
      <c r="E23" s="12">
        <v>2037629</v>
      </c>
      <c r="F23" s="12">
        <v>81061</v>
      </c>
      <c r="G23" s="4">
        <v>4499</v>
      </c>
      <c r="H23" s="18"/>
      <c r="I23" s="18"/>
    </row>
    <row r="24" spans="1:9" x14ac:dyDescent="0.25">
      <c r="A24" s="4">
        <v>3</v>
      </c>
      <c r="B24" s="18"/>
      <c r="C24" s="18"/>
      <c r="D24" s="11">
        <v>37181472</v>
      </c>
      <c r="E24" s="12">
        <v>2041487</v>
      </c>
      <c r="F24" s="12">
        <v>82096</v>
      </c>
      <c r="G24" s="4">
        <v>4507</v>
      </c>
      <c r="H24" s="18"/>
      <c r="I24" s="18"/>
    </row>
    <row r="25" spans="1:9" x14ac:dyDescent="0.25">
      <c r="A25" s="4">
        <v>4</v>
      </c>
      <c r="B25" s="18"/>
      <c r="C25" s="18"/>
      <c r="D25" s="11">
        <v>36908736</v>
      </c>
      <c r="E25" s="12">
        <v>2056733</v>
      </c>
      <c r="F25" s="12">
        <v>81494</v>
      </c>
      <c r="G25" s="4">
        <v>4541</v>
      </c>
      <c r="H25" s="18"/>
      <c r="I25" s="18"/>
    </row>
    <row r="26" spans="1:9" x14ac:dyDescent="0.25">
      <c r="A26" s="4">
        <v>5</v>
      </c>
      <c r="B26" s="18"/>
      <c r="C26" s="18"/>
      <c r="D26" s="11">
        <v>37318432</v>
      </c>
      <c r="E26" s="12">
        <v>2034605</v>
      </c>
      <c r="F26" s="12">
        <v>82399</v>
      </c>
      <c r="G26" s="4">
        <v>4492</v>
      </c>
      <c r="H26" s="18"/>
      <c r="I26" s="18"/>
    </row>
    <row r="27" spans="1:9" x14ac:dyDescent="0.25">
      <c r="A27" s="4">
        <v>6</v>
      </c>
      <c r="B27" s="18"/>
      <c r="C27" s="18"/>
      <c r="D27" s="11">
        <v>36091328</v>
      </c>
      <c r="E27" s="12">
        <v>1982535</v>
      </c>
      <c r="F27" s="12">
        <v>79689</v>
      </c>
      <c r="G27" s="4">
        <v>4377</v>
      </c>
      <c r="H27" s="18"/>
      <c r="I27" s="18"/>
    </row>
    <row r="28" spans="1:9" x14ac:dyDescent="0.25">
      <c r="A28" s="4">
        <v>7</v>
      </c>
      <c r="B28" s="18"/>
      <c r="C28" s="18"/>
      <c r="D28" s="11">
        <v>36540736</v>
      </c>
      <c r="E28" s="12">
        <v>2025763</v>
      </c>
      <c r="F28" s="12">
        <v>80681</v>
      </c>
      <c r="G28" s="4">
        <v>4472</v>
      </c>
      <c r="H28" s="18"/>
      <c r="I28" s="18"/>
    </row>
    <row r="29" spans="1:9" x14ac:dyDescent="0.25">
      <c r="A29" s="4">
        <v>8</v>
      </c>
      <c r="B29" s="18"/>
      <c r="C29" s="20"/>
      <c r="D29" s="13">
        <v>36716736</v>
      </c>
      <c r="E29" s="11">
        <v>2049680</v>
      </c>
      <c r="F29" s="12">
        <v>81070</v>
      </c>
      <c r="G29" s="4">
        <v>4525</v>
      </c>
      <c r="H29" s="18"/>
      <c r="I29" s="18"/>
    </row>
    <row r="30" spans="1:9" x14ac:dyDescent="0.25">
      <c r="A30" s="4">
        <v>9</v>
      </c>
      <c r="B30" s="18"/>
      <c r="C30" s="20"/>
      <c r="D30" s="13">
        <v>37293984</v>
      </c>
      <c r="E30" s="11">
        <v>2051855</v>
      </c>
      <c r="F30" s="12">
        <v>82345</v>
      </c>
      <c r="G30" s="4">
        <v>4530</v>
      </c>
      <c r="H30" s="18"/>
      <c r="I30" s="18"/>
    </row>
    <row r="31" spans="1:9" x14ac:dyDescent="0.25">
      <c r="A31" s="8">
        <v>10</v>
      </c>
      <c r="B31" s="18"/>
      <c r="C31" s="21"/>
      <c r="D31" s="14">
        <v>36714400</v>
      </c>
      <c r="E31" s="15">
        <v>2042527</v>
      </c>
      <c r="F31" s="16">
        <v>81065</v>
      </c>
      <c r="G31" s="8">
        <v>4509</v>
      </c>
      <c r="H31" s="19"/>
      <c r="I31" s="19"/>
    </row>
    <row r="32" spans="1:9" x14ac:dyDescent="0.25">
      <c r="A32" s="4">
        <v>1</v>
      </c>
      <c r="B32" s="18"/>
      <c r="C32" s="17">
        <v>512</v>
      </c>
      <c r="D32" s="11">
        <v>22724672</v>
      </c>
      <c r="E32" s="12">
        <v>2097393</v>
      </c>
      <c r="F32" s="12">
        <v>96716</v>
      </c>
      <c r="G32" s="4">
        <v>8926</v>
      </c>
      <c r="H32" s="17">
        <f>G32/1000</f>
        <v>8.9260000000000002</v>
      </c>
      <c r="I32" s="17">
        <f>AVERAGE(E32:E41)/B2</f>
        <v>1040460.95</v>
      </c>
    </row>
    <row r="33" spans="1:9" x14ac:dyDescent="0.25">
      <c r="A33" s="4">
        <v>2</v>
      </c>
      <c r="B33" s="18"/>
      <c r="C33" s="18"/>
      <c r="D33" s="11">
        <v>22966688</v>
      </c>
      <c r="E33" s="12">
        <v>2095609</v>
      </c>
      <c r="F33" s="12">
        <v>97746</v>
      </c>
      <c r="G33" s="4">
        <v>8918</v>
      </c>
      <c r="H33" s="18"/>
      <c r="I33" s="18"/>
    </row>
    <row r="34" spans="1:9" x14ac:dyDescent="0.25">
      <c r="A34" s="4">
        <v>3</v>
      </c>
      <c r="B34" s="18"/>
      <c r="C34" s="18"/>
      <c r="D34" s="11">
        <v>22224416</v>
      </c>
      <c r="E34" s="12">
        <v>2041071</v>
      </c>
      <c r="F34" s="12">
        <v>94586</v>
      </c>
      <c r="G34" s="4">
        <v>8686</v>
      </c>
      <c r="H34" s="18"/>
      <c r="I34" s="18"/>
    </row>
    <row r="35" spans="1:9" x14ac:dyDescent="0.25">
      <c r="A35" s="4">
        <v>4</v>
      </c>
      <c r="B35" s="18"/>
      <c r="C35" s="18"/>
      <c r="D35" s="11">
        <v>23060640</v>
      </c>
      <c r="E35" s="12">
        <v>2125372</v>
      </c>
      <c r="F35" s="12">
        <v>98146</v>
      </c>
      <c r="G35" s="4">
        <v>9045</v>
      </c>
      <c r="H35" s="18"/>
      <c r="I35" s="18"/>
    </row>
    <row r="36" spans="1:9" x14ac:dyDescent="0.25">
      <c r="A36" s="4">
        <v>5</v>
      </c>
      <c r="B36" s="18"/>
      <c r="C36" s="18"/>
      <c r="D36" s="11">
        <v>22340224</v>
      </c>
      <c r="E36" s="12">
        <v>2058358</v>
      </c>
      <c r="F36" s="12">
        <v>95080</v>
      </c>
      <c r="G36" s="4">
        <v>8760</v>
      </c>
      <c r="H36" s="18"/>
      <c r="I36" s="18"/>
    </row>
    <row r="37" spans="1:9" x14ac:dyDescent="0.25">
      <c r="A37" s="4">
        <v>6</v>
      </c>
      <c r="B37" s="18"/>
      <c r="C37" s="18"/>
      <c r="D37" s="11">
        <v>23228288</v>
      </c>
      <c r="E37" s="12">
        <v>2110276</v>
      </c>
      <c r="F37" s="12">
        <v>98859</v>
      </c>
      <c r="G37" s="4">
        <v>8981</v>
      </c>
      <c r="H37" s="18"/>
      <c r="I37" s="18"/>
    </row>
    <row r="38" spans="1:9" x14ac:dyDescent="0.25">
      <c r="A38" s="4">
        <v>7</v>
      </c>
      <c r="B38" s="18"/>
      <c r="C38" s="18"/>
      <c r="D38" s="11">
        <v>22608672</v>
      </c>
      <c r="E38" s="12">
        <v>2045369</v>
      </c>
      <c r="F38" s="12">
        <v>96222</v>
      </c>
      <c r="G38" s="4">
        <v>8705</v>
      </c>
      <c r="H38" s="18"/>
      <c r="I38" s="18"/>
    </row>
    <row r="39" spans="1:9" x14ac:dyDescent="0.25">
      <c r="A39" s="4">
        <v>8</v>
      </c>
      <c r="B39" s="18"/>
      <c r="C39" s="20"/>
      <c r="D39" s="13">
        <v>23060128</v>
      </c>
      <c r="E39" s="11">
        <v>2101054</v>
      </c>
      <c r="F39" s="12">
        <v>98143</v>
      </c>
      <c r="G39" s="4">
        <v>8942</v>
      </c>
      <c r="H39" s="18"/>
      <c r="I39" s="18"/>
    </row>
    <row r="40" spans="1:9" x14ac:dyDescent="0.25">
      <c r="A40" s="4">
        <v>9</v>
      </c>
      <c r="B40" s="18"/>
      <c r="C40" s="20"/>
      <c r="D40" s="13">
        <v>22065312</v>
      </c>
      <c r="E40" s="11">
        <v>2020685</v>
      </c>
      <c r="F40" s="12">
        <v>93909</v>
      </c>
      <c r="G40" s="4">
        <v>8600</v>
      </c>
      <c r="H40" s="18"/>
      <c r="I40" s="18"/>
    </row>
    <row r="41" spans="1:9" x14ac:dyDescent="0.25">
      <c r="A41" s="8">
        <v>10</v>
      </c>
      <c r="B41" s="18"/>
      <c r="C41" s="21"/>
      <c r="D41" s="14">
        <v>23055104</v>
      </c>
      <c r="E41" s="15">
        <v>2114032</v>
      </c>
      <c r="F41" s="16">
        <v>98122</v>
      </c>
      <c r="G41" s="8">
        <v>8997</v>
      </c>
      <c r="H41" s="19"/>
      <c r="I41" s="19"/>
    </row>
    <row r="42" spans="1:9" x14ac:dyDescent="0.25">
      <c r="A42" s="4">
        <v>1</v>
      </c>
      <c r="B42" s="18"/>
      <c r="C42" s="17">
        <v>1024</v>
      </c>
      <c r="D42" s="11">
        <v>11764928</v>
      </c>
      <c r="E42" s="12">
        <v>2050288</v>
      </c>
      <c r="F42" s="12">
        <v>96716</v>
      </c>
      <c r="G42" s="4">
        <v>17124</v>
      </c>
      <c r="H42" s="17">
        <f>G42/1000</f>
        <v>17.123999999999999</v>
      </c>
      <c r="I42" s="17">
        <f>AVERAGE(E42:E51)/B2</f>
        <v>1046689.5</v>
      </c>
    </row>
    <row r="43" spans="1:9" x14ac:dyDescent="0.25">
      <c r="A43" s="4">
        <v>2</v>
      </c>
      <c r="B43" s="18"/>
      <c r="C43" s="18"/>
      <c r="D43" s="11">
        <v>11691872</v>
      </c>
      <c r="E43" s="12">
        <v>2037020</v>
      </c>
      <c r="F43" s="12">
        <v>97746</v>
      </c>
      <c r="G43" s="4">
        <v>17013</v>
      </c>
      <c r="H43" s="18"/>
      <c r="I43" s="18"/>
    </row>
    <row r="44" spans="1:9" x14ac:dyDescent="0.25">
      <c r="A44" s="4">
        <v>3</v>
      </c>
      <c r="B44" s="18"/>
      <c r="C44" s="18"/>
      <c r="D44" s="11">
        <v>12033600</v>
      </c>
      <c r="E44" s="12">
        <v>2095492</v>
      </c>
      <c r="F44" s="12">
        <v>94586</v>
      </c>
      <c r="G44" s="4">
        <v>17501</v>
      </c>
      <c r="H44" s="18"/>
      <c r="I44" s="18"/>
    </row>
    <row r="45" spans="1:9" x14ac:dyDescent="0.25">
      <c r="A45" s="4">
        <v>4</v>
      </c>
      <c r="B45" s="18"/>
      <c r="C45" s="18"/>
      <c r="D45" s="11">
        <v>12162336</v>
      </c>
      <c r="E45" s="12">
        <v>2128329</v>
      </c>
      <c r="F45" s="12">
        <v>98146</v>
      </c>
      <c r="G45" s="4">
        <v>17775</v>
      </c>
      <c r="H45" s="18"/>
      <c r="I45" s="18"/>
    </row>
    <row r="46" spans="1:9" x14ac:dyDescent="0.25">
      <c r="A46" s="4">
        <v>5</v>
      </c>
      <c r="B46" s="18"/>
      <c r="C46" s="18"/>
      <c r="D46" s="11">
        <v>11882656</v>
      </c>
      <c r="E46" s="12">
        <v>2092943</v>
      </c>
      <c r="F46" s="12">
        <v>95080</v>
      </c>
      <c r="G46" s="4">
        <v>17480</v>
      </c>
      <c r="H46" s="18"/>
      <c r="I46" s="18"/>
    </row>
    <row r="47" spans="1:9" x14ac:dyDescent="0.25">
      <c r="A47" s="4">
        <v>6</v>
      </c>
      <c r="B47" s="18"/>
      <c r="C47" s="18"/>
      <c r="D47" s="11">
        <v>11648000</v>
      </c>
      <c r="E47" s="12">
        <v>2055783</v>
      </c>
      <c r="F47" s="12">
        <v>98859</v>
      </c>
      <c r="G47" s="4">
        <v>17766</v>
      </c>
      <c r="H47" s="18"/>
      <c r="I47" s="18"/>
    </row>
    <row r="48" spans="1:9" x14ac:dyDescent="0.25">
      <c r="A48" s="4">
        <v>7</v>
      </c>
      <c r="B48" s="18"/>
      <c r="C48" s="18"/>
      <c r="D48" s="11">
        <v>12027392</v>
      </c>
      <c r="E48" s="12">
        <v>2127198</v>
      </c>
      <c r="F48" s="12">
        <v>96222</v>
      </c>
      <c r="G48" s="4">
        <v>17705</v>
      </c>
      <c r="H48" s="18"/>
      <c r="I48" s="18"/>
    </row>
    <row r="49" spans="1:9" x14ac:dyDescent="0.25">
      <c r="A49" s="4">
        <v>8</v>
      </c>
      <c r="B49" s="18"/>
      <c r="C49" s="20"/>
      <c r="D49" s="13">
        <v>11780288</v>
      </c>
      <c r="E49" s="11">
        <v>2096510</v>
      </c>
      <c r="F49" s="12">
        <v>98143</v>
      </c>
      <c r="G49" s="4">
        <v>17510</v>
      </c>
      <c r="H49" s="18"/>
      <c r="I49" s="18"/>
    </row>
    <row r="50" spans="1:9" x14ac:dyDescent="0.25">
      <c r="A50" s="4">
        <v>9</v>
      </c>
      <c r="B50" s="18"/>
      <c r="C50" s="20"/>
      <c r="D50" s="13">
        <v>11885408</v>
      </c>
      <c r="E50" s="11">
        <v>2112416</v>
      </c>
      <c r="F50" s="12">
        <v>93909</v>
      </c>
      <c r="G50" s="4">
        <v>17510</v>
      </c>
      <c r="H50" s="18"/>
      <c r="I50" s="18"/>
    </row>
    <row r="51" spans="1:9" x14ac:dyDescent="0.25">
      <c r="A51" s="8">
        <v>10</v>
      </c>
      <c r="B51" s="18"/>
      <c r="C51" s="21"/>
      <c r="D51" s="14">
        <v>11974368</v>
      </c>
      <c r="E51" s="15">
        <v>2137811</v>
      </c>
      <c r="F51" s="16">
        <v>98122</v>
      </c>
      <c r="G51" s="8">
        <v>17854</v>
      </c>
      <c r="H51" s="19"/>
      <c r="I51" s="19"/>
    </row>
    <row r="52" spans="1:9" x14ac:dyDescent="0.25">
      <c r="A52" s="4">
        <v>1</v>
      </c>
      <c r="B52" s="18"/>
      <c r="C52" s="17">
        <v>1500</v>
      </c>
      <c r="D52" s="11">
        <v>8263680</v>
      </c>
      <c r="E52" s="12">
        <v>2188431</v>
      </c>
      <c r="F52" s="12">
        <v>100485</v>
      </c>
      <c r="G52" s="4">
        <v>26611</v>
      </c>
      <c r="H52" s="17">
        <f>G52/1000</f>
        <v>26.611000000000001</v>
      </c>
      <c r="I52" s="17">
        <f>AVERAGE(E52:E61)/B2</f>
        <v>1088648.1000000001</v>
      </c>
    </row>
    <row r="53" spans="1:9" x14ac:dyDescent="0.25">
      <c r="A53" s="4">
        <v>2</v>
      </c>
      <c r="B53" s="18"/>
      <c r="C53" s="18"/>
      <c r="D53" s="11">
        <v>8153184</v>
      </c>
      <c r="E53" s="12">
        <v>2161130</v>
      </c>
      <c r="F53" s="12">
        <v>99142</v>
      </c>
      <c r="G53" s="4">
        <v>26279</v>
      </c>
      <c r="H53" s="18"/>
      <c r="I53" s="18"/>
    </row>
    <row r="54" spans="1:9" x14ac:dyDescent="0.25">
      <c r="A54" s="4">
        <v>3</v>
      </c>
      <c r="B54" s="18"/>
      <c r="C54" s="18"/>
      <c r="D54" s="11">
        <v>8289920</v>
      </c>
      <c r="E54" s="12">
        <v>2198949</v>
      </c>
      <c r="F54" s="12">
        <v>100805</v>
      </c>
      <c r="G54" s="4">
        <v>26739</v>
      </c>
      <c r="H54" s="18"/>
      <c r="I54" s="18"/>
    </row>
    <row r="55" spans="1:9" x14ac:dyDescent="0.25">
      <c r="A55" s="4">
        <v>4</v>
      </c>
      <c r="B55" s="18"/>
      <c r="C55" s="18"/>
      <c r="D55" s="11">
        <v>8124736</v>
      </c>
      <c r="E55" s="12">
        <v>2162059</v>
      </c>
      <c r="F55" s="12">
        <v>98796</v>
      </c>
      <c r="G55" s="4">
        <v>26290</v>
      </c>
      <c r="H55" s="18"/>
      <c r="I55" s="18"/>
    </row>
    <row r="56" spans="1:9" x14ac:dyDescent="0.25">
      <c r="A56" s="4">
        <v>5</v>
      </c>
      <c r="B56" s="18"/>
      <c r="C56" s="18"/>
      <c r="D56" s="11">
        <v>8156192</v>
      </c>
      <c r="E56" s="12">
        <v>2172510</v>
      </c>
      <c r="F56" s="12">
        <v>99179</v>
      </c>
      <c r="G56" s="4">
        <v>26417</v>
      </c>
      <c r="H56" s="18"/>
      <c r="I56" s="18"/>
    </row>
    <row r="57" spans="1:9" x14ac:dyDescent="0.25">
      <c r="A57" s="4">
        <v>6</v>
      </c>
      <c r="B57" s="18"/>
      <c r="C57" s="18"/>
      <c r="D57" s="11">
        <v>8157408</v>
      </c>
      <c r="E57" s="12">
        <v>2175824</v>
      </c>
      <c r="F57" s="12">
        <v>99194</v>
      </c>
      <c r="G57" s="4">
        <v>26458</v>
      </c>
      <c r="H57" s="18"/>
      <c r="I57" s="18"/>
    </row>
    <row r="58" spans="1:9" x14ac:dyDescent="0.25">
      <c r="A58" s="4">
        <v>7</v>
      </c>
      <c r="B58" s="18"/>
      <c r="C58" s="18"/>
      <c r="D58" s="11">
        <v>8287520</v>
      </c>
      <c r="E58" s="12">
        <v>2218726</v>
      </c>
      <c r="F58" s="12">
        <v>100776</v>
      </c>
      <c r="G58" s="4">
        <v>26979</v>
      </c>
      <c r="H58" s="18"/>
      <c r="I58" s="18"/>
    </row>
    <row r="59" spans="1:9" x14ac:dyDescent="0.25">
      <c r="A59" s="4">
        <v>8</v>
      </c>
      <c r="B59" s="18"/>
      <c r="C59" s="20"/>
      <c r="D59" s="13">
        <v>8063328</v>
      </c>
      <c r="E59" s="11">
        <v>2139549</v>
      </c>
      <c r="F59" s="12">
        <v>98050</v>
      </c>
      <c r="G59" s="4">
        <v>26016</v>
      </c>
      <c r="H59" s="18"/>
      <c r="I59" s="18"/>
    </row>
    <row r="60" spans="1:9" x14ac:dyDescent="0.25">
      <c r="A60" s="4">
        <v>9</v>
      </c>
      <c r="B60" s="18"/>
      <c r="C60" s="20"/>
      <c r="D60" s="13">
        <v>8258784</v>
      </c>
      <c r="E60" s="11">
        <v>2199386</v>
      </c>
      <c r="F60" s="12">
        <v>100426</v>
      </c>
      <c r="G60" s="4">
        <v>26744</v>
      </c>
      <c r="H60" s="18"/>
      <c r="I60" s="18"/>
    </row>
    <row r="61" spans="1:9" x14ac:dyDescent="0.25">
      <c r="A61" s="8">
        <v>10</v>
      </c>
      <c r="B61" s="19"/>
      <c r="C61" s="21"/>
      <c r="D61" s="14">
        <v>8058848</v>
      </c>
      <c r="E61" s="15">
        <v>2156398</v>
      </c>
      <c r="F61" s="16">
        <v>97995</v>
      </c>
      <c r="G61" s="8">
        <v>26221</v>
      </c>
      <c r="H61" s="19"/>
      <c r="I61" s="19"/>
    </row>
  </sheetData>
  <mergeCells count="19">
    <mergeCell ref="C42:C51"/>
    <mergeCell ref="H42:H51"/>
    <mergeCell ref="I42:I51"/>
    <mergeCell ref="B2:B61"/>
    <mergeCell ref="C2:C11"/>
    <mergeCell ref="H2:H11"/>
    <mergeCell ref="I2:I11"/>
    <mergeCell ref="C12:C21"/>
    <mergeCell ref="H12:H21"/>
    <mergeCell ref="I12:I21"/>
    <mergeCell ref="C22:C31"/>
    <mergeCell ref="H22:H31"/>
    <mergeCell ref="I22:I31"/>
    <mergeCell ref="C52:C61"/>
    <mergeCell ref="H52:H61"/>
    <mergeCell ref="I52:I61"/>
    <mergeCell ref="C32:C41"/>
    <mergeCell ref="H32:H41"/>
    <mergeCell ref="I32:I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GSPN, Amith</dc:creator>
  <cp:lastModifiedBy>GSPN, Amith</cp:lastModifiedBy>
  <dcterms:created xsi:type="dcterms:W3CDTF">2026-02-12T15:37:49Z</dcterms:created>
  <dcterms:modified xsi:type="dcterms:W3CDTF">2026-02-12T18:44:23Z</dcterms:modified>
</cp:coreProperties>
</file>