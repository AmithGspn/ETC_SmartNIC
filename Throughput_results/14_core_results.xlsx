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A:\paper 2\Throughput_results\"/>
    </mc:Choice>
  </mc:AlternateContent>
  <xr:revisionPtr revIDLastSave="0" documentId="13_ncr:1_{0D7364DF-D877-48B3-9702-79CBCA50A461}" xr6:coauthVersionLast="47" xr6:coauthVersionMax="47" xr10:uidLastSave="{00000000-0000-0000-0000-000000000000}"/>
  <bookViews>
    <workbookView xWindow="-105" yWindow="0" windowWidth="26010" windowHeight="21705" xr2:uid="{A222E67D-AB1D-4CC2-8067-4420066713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2" i="1" l="1"/>
  <c r="H22" i="1"/>
  <c r="H2" i="1"/>
  <c r="H12" i="1"/>
  <c r="I52" i="1"/>
  <c r="I42" i="1"/>
  <c r="H42" i="1"/>
  <c r="I32" i="1"/>
  <c r="H32" i="1"/>
  <c r="I22" i="1"/>
  <c r="I12" i="1"/>
  <c r="I2" i="1"/>
</calcChain>
</file>

<file path=xl/sharedStrings.xml><?xml version="1.0" encoding="utf-8"?>
<sst xmlns="http://schemas.openxmlformats.org/spreadsheetml/2006/main" count="9" uniqueCount="9">
  <si>
    <t>Sec</t>
  </si>
  <si>
    <t>Core Count</t>
  </si>
  <si>
    <t>Packet Size (Bytes)</t>
  </si>
  <si>
    <t>TX pps</t>
  </si>
  <si>
    <t>RX pps</t>
  </si>
  <si>
    <t>TX Mbps</t>
  </si>
  <si>
    <t>RX Mbps</t>
  </si>
  <si>
    <t>RX Gbps (Calculated)</t>
  </si>
  <si>
    <t>pps /core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</si>
</sst>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6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71E6E-BE57-4EEB-8F05-6D1977056E45}">
  <dimension ref="A1:T61"/>
  <sheetViews>
    <sheetView tabSelected="1" zoomScaleNormal="100" workbookViewId="0">
      <selection activeCell="Q15" sqref="Q15"/>
    </sheetView>
  </sheetViews>
  <sheetFormatPr defaultRowHeight="15" x14ac:dyDescent="0.25"/>
  <cols>
    <col min="2" max="2" width="16.85546875" customWidth="1"/>
    <col min="3" max="3" width="20.5703125" customWidth="1"/>
    <col min="4" max="4" width="16.42578125" customWidth="1"/>
    <col min="5" max="5" width="14" customWidth="1"/>
    <col min="6" max="6" width="13.5703125" customWidth="1"/>
    <col min="7" max="7" width="14.5703125" customWidth="1"/>
    <col min="8" max="8" width="24.85546875" customWidth="1"/>
    <col min="9" max="9" width="21.7109375" customWidth="1"/>
    <col min="17" max="17" width="13.42578125" customWidth="1"/>
    <col min="18" max="18" width="14.570312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1" t="s">
        <v>8</v>
      </c>
    </row>
    <row r="2" spans="1:20" x14ac:dyDescent="0.25">
      <c r="A2" s="4">
        <v>1</v>
      </c>
      <c r="B2" s="15">
        <v>14</v>
      </c>
      <c r="C2" s="15">
        <v>64</v>
      </c>
      <c r="D2" s="5">
        <v>49974085</v>
      </c>
      <c r="E2" s="6">
        <v>20221711</v>
      </c>
      <c r="F2" s="6">
        <v>32993</v>
      </c>
      <c r="G2" s="4">
        <v>13588</v>
      </c>
      <c r="H2" s="15">
        <f>G2/1000</f>
        <v>13.587999999999999</v>
      </c>
      <c r="I2" s="15">
        <f>AVERAGE(D2:D11)/B2</f>
        <v>3483082.3928571427</v>
      </c>
    </row>
    <row r="3" spans="1:20" x14ac:dyDescent="0.25">
      <c r="A3" s="4">
        <v>2</v>
      </c>
      <c r="B3" s="16"/>
      <c r="C3" s="16"/>
      <c r="D3" s="5">
        <v>48144764</v>
      </c>
      <c r="E3" s="6">
        <v>19690879</v>
      </c>
      <c r="F3" s="6">
        <v>32335</v>
      </c>
      <c r="G3" s="4">
        <v>13232</v>
      </c>
      <c r="H3" s="16"/>
      <c r="I3" s="16"/>
    </row>
    <row r="4" spans="1:20" x14ac:dyDescent="0.25">
      <c r="A4" s="4">
        <v>3</v>
      </c>
      <c r="B4" s="16"/>
      <c r="C4" s="16"/>
      <c r="D4" s="5">
        <v>49134460</v>
      </c>
      <c r="E4" s="6">
        <v>19819410</v>
      </c>
      <c r="F4" s="6">
        <v>33001</v>
      </c>
      <c r="G4" s="4">
        <v>13318</v>
      </c>
      <c r="H4" s="16"/>
      <c r="I4" s="16"/>
    </row>
    <row r="5" spans="1:20" x14ac:dyDescent="0.25">
      <c r="A5" s="4">
        <v>4</v>
      </c>
      <c r="B5" s="16"/>
      <c r="C5" s="16"/>
      <c r="D5" s="5">
        <v>48163901</v>
      </c>
      <c r="E5" s="6">
        <v>19634332</v>
      </c>
      <c r="F5" s="6">
        <v>32326</v>
      </c>
      <c r="G5" s="4">
        <v>13194</v>
      </c>
      <c r="H5" s="16"/>
      <c r="I5" s="16"/>
    </row>
    <row r="6" spans="1:20" x14ac:dyDescent="0.25">
      <c r="A6" s="4">
        <v>5</v>
      </c>
      <c r="B6" s="16"/>
      <c r="C6" s="16"/>
      <c r="D6" s="5">
        <v>49456567</v>
      </c>
      <c r="E6" s="6">
        <v>20481600</v>
      </c>
      <c r="F6" s="6">
        <v>33523</v>
      </c>
      <c r="G6" s="4">
        <v>13763</v>
      </c>
      <c r="H6" s="16"/>
      <c r="I6" s="16"/>
    </row>
    <row r="7" spans="1:20" x14ac:dyDescent="0.25">
      <c r="A7" s="4">
        <v>6</v>
      </c>
      <c r="B7" s="16"/>
      <c r="C7" s="16"/>
      <c r="D7" s="5">
        <v>47933345</v>
      </c>
      <c r="E7" s="6">
        <v>19789636</v>
      </c>
      <c r="F7" s="6">
        <v>32221</v>
      </c>
      <c r="G7" s="4">
        <v>13298</v>
      </c>
      <c r="H7" s="16"/>
      <c r="I7" s="16"/>
    </row>
    <row r="8" spans="1:20" x14ac:dyDescent="0.25">
      <c r="A8" s="4">
        <v>7</v>
      </c>
      <c r="B8" s="16"/>
      <c r="C8" s="16"/>
      <c r="D8" s="5">
        <v>49476483</v>
      </c>
      <c r="E8" s="6">
        <v>20405772</v>
      </c>
      <c r="F8" s="6">
        <v>33234</v>
      </c>
      <c r="G8" s="4">
        <v>13712</v>
      </c>
      <c r="H8" s="16"/>
      <c r="I8" s="16"/>
    </row>
    <row r="9" spans="1:20" ht="16.5" customHeight="1" x14ac:dyDescent="0.25">
      <c r="A9" s="4">
        <v>8</v>
      </c>
      <c r="B9" s="16"/>
      <c r="C9" s="17"/>
      <c r="D9" s="7">
        <v>48517846</v>
      </c>
      <c r="E9" s="5">
        <v>19955772</v>
      </c>
      <c r="F9" s="6">
        <v>32620</v>
      </c>
      <c r="G9" s="4">
        <v>13410</v>
      </c>
      <c r="H9" s="16"/>
      <c r="I9" s="16"/>
      <c r="P9" s="13"/>
      <c r="Q9" s="13"/>
      <c r="R9" s="13"/>
      <c r="S9" s="13"/>
      <c r="T9" s="13"/>
    </row>
    <row r="10" spans="1:20" x14ac:dyDescent="0.25">
      <c r="A10" s="4">
        <v>9</v>
      </c>
      <c r="B10" s="16"/>
      <c r="C10" s="17"/>
      <c r="D10" s="7">
        <v>47559682</v>
      </c>
      <c r="E10" s="5">
        <v>19502172</v>
      </c>
      <c r="F10" s="6">
        <v>31995</v>
      </c>
      <c r="G10" s="4">
        <v>13105</v>
      </c>
      <c r="H10" s="16"/>
      <c r="I10" s="16"/>
      <c r="P10" s="12"/>
      <c r="Q10" s="14"/>
      <c r="R10" s="14"/>
      <c r="S10" s="14"/>
      <c r="T10" s="14"/>
    </row>
    <row r="11" spans="1:20" x14ac:dyDescent="0.25">
      <c r="A11" s="8">
        <v>10</v>
      </c>
      <c r="B11" s="16"/>
      <c r="C11" s="18"/>
      <c r="D11" s="9">
        <v>49270402</v>
      </c>
      <c r="E11" s="10">
        <v>20363492</v>
      </c>
      <c r="F11" s="11">
        <v>33310</v>
      </c>
      <c r="G11" s="8">
        <v>13684</v>
      </c>
      <c r="H11" s="19"/>
      <c r="I11" s="19"/>
      <c r="P11" s="12"/>
      <c r="Q11" s="14"/>
      <c r="R11" s="14"/>
      <c r="S11" s="14"/>
      <c r="T11" s="14"/>
    </row>
    <row r="12" spans="1:20" x14ac:dyDescent="0.25">
      <c r="A12" s="4">
        <v>1</v>
      </c>
      <c r="B12" s="16"/>
      <c r="C12" s="15">
        <v>128</v>
      </c>
      <c r="D12" s="5">
        <v>49908608</v>
      </c>
      <c r="E12" s="6">
        <v>18661296</v>
      </c>
      <c r="F12" s="6">
        <v>59091</v>
      </c>
      <c r="G12" s="4">
        <v>22094</v>
      </c>
      <c r="H12" s="15">
        <f>G12/1000</f>
        <v>22.094000000000001</v>
      </c>
      <c r="I12" s="15">
        <f>AVERAGE(D12:D21)/B2</f>
        <v>3587373.2571428572</v>
      </c>
      <c r="P12" s="12"/>
      <c r="Q12" s="14"/>
      <c r="R12" s="14"/>
      <c r="S12" s="14"/>
      <c r="T12" s="14"/>
    </row>
    <row r="13" spans="1:20" x14ac:dyDescent="0.25">
      <c r="A13" s="4">
        <v>2</v>
      </c>
      <c r="B13" s="16"/>
      <c r="C13" s="16"/>
      <c r="D13" s="5">
        <v>50257920</v>
      </c>
      <c r="E13" s="6">
        <v>18624280</v>
      </c>
      <c r="F13" s="6">
        <v>59505</v>
      </c>
      <c r="G13" s="4">
        <v>22051</v>
      </c>
      <c r="H13" s="16"/>
      <c r="I13" s="16"/>
      <c r="P13" s="12"/>
      <c r="Q13" s="14"/>
      <c r="R13" s="14"/>
      <c r="S13" s="14"/>
      <c r="T13" s="14"/>
    </row>
    <row r="14" spans="1:20" x14ac:dyDescent="0.25">
      <c r="A14" s="4">
        <v>3</v>
      </c>
      <c r="B14" s="16"/>
      <c r="C14" s="16"/>
      <c r="D14" s="5">
        <v>50030208</v>
      </c>
      <c r="E14" s="6">
        <v>18702577</v>
      </c>
      <c r="F14" s="6">
        <v>59235</v>
      </c>
      <c r="G14" s="4">
        <v>22143</v>
      </c>
      <c r="H14" s="16"/>
      <c r="I14" s="16"/>
      <c r="P14" s="12"/>
      <c r="Q14" s="14"/>
      <c r="R14" s="14"/>
      <c r="S14" s="14"/>
      <c r="T14" s="14"/>
    </row>
    <row r="15" spans="1:20" x14ac:dyDescent="0.25">
      <c r="A15" s="4">
        <v>4</v>
      </c>
      <c r="B15" s="16"/>
      <c r="C15" s="16"/>
      <c r="D15" s="5">
        <v>50019936</v>
      </c>
      <c r="E15" s="6">
        <v>18519717</v>
      </c>
      <c r="F15" s="6">
        <v>59223</v>
      </c>
      <c r="G15" s="4">
        <v>21927</v>
      </c>
      <c r="H15" s="16"/>
      <c r="I15" s="16"/>
      <c r="P15" s="12"/>
      <c r="Q15" s="14"/>
      <c r="R15" s="14"/>
      <c r="S15" s="14"/>
      <c r="T15" s="14"/>
    </row>
    <row r="16" spans="1:20" x14ac:dyDescent="0.25">
      <c r="A16" s="4">
        <v>5</v>
      </c>
      <c r="B16" s="16"/>
      <c r="C16" s="16"/>
      <c r="D16" s="5">
        <v>50819424</v>
      </c>
      <c r="E16" s="6">
        <v>18282090</v>
      </c>
      <c r="F16" s="6">
        <v>60170</v>
      </c>
      <c r="G16" s="4">
        <v>21645</v>
      </c>
      <c r="H16" s="16"/>
      <c r="I16" s="16"/>
      <c r="P16" s="12"/>
      <c r="Q16" s="14"/>
      <c r="R16" s="14"/>
      <c r="S16" s="14"/>
      <c r="T16" s="14"/>
    </row>
    <row r="17" spans="1:20" x14ac:dyDescent="0.25">
      <c r="A17" s="4">
        <v>6</v>
      </c>
      <c r="B17" s="16"/>
      <c r="C17" s="16"/>
      <c r="D17" s="5">
        <v>50270752</v>
      </c>
      <c r="E17" s="6">
        <v>18376266</v>
      </c>
      <c r="F17" s="6">
        <v>59520</v>
      </c>
      <c r="G17" s="4">
        <v>21757</v>
      </c>
      <c r="H17" s="16"/>
      <c r="I17" s="16"/>
      <c r="P17" s="12"/>
      <c r="Q17" s="14"/>
      <c r="R17" s="14"/>
      <c r="S17" s="14"/>
      <c r="T17" s="14"/>
    </row>
    <row r="18" spans="1:20" x14ac:dyDescent="0.25">
      <c r="A18" s="4">
        <v>7</v>
      </c>
      <c r="B18" s="16"/>
      <c r="C18" s="16"/>
      <c r="D18" s="5">
        <v>51064928</v>
      </c>
      <c r="E18" s="6">
        <v>19048114</v>
      </c>
      <c r="F18" s="6">
        <v>60460</v>
      </c>
      <c r="G18" s="4">
        <v>22552</v>
      </c>
      <c r="H18" s="16"/>
      <c r="I18" s="16"/>
      <c r="P18" s="12"/>
      <c r="Q18" s="14"/>
      <c r="R18" s="14"/>
      <c r="S18" s="14"/>
      <c r="T18" s="14"/>
    </row>
    <row r="19" spans="1:20" x14ac:dyDescent="0.25">
      <c r="A19" s="4">
        <v>8</v>
      </c>
      <c r="B19" s="16"/>
      <c r="C19" s="17"/>
      <c r="D19" s="7">
        <v>49699296</v>
      </c>
      <c r="E19" s="5">
        <v>18405309</v>
      </c>
      <c r="F19" s="6">
        <v>58843</v>
      </c>
      <c r="G19" s="4">
        <v>21791</v>
      </c>
      <c r="H19" s="16"/>
      <c r="I19" s="16"/>
      <c r="P19" s="12"/>
      <c r="Q19" s="14"/>
      <c r="R19" s="14"/>
      <c r="S19" s="14"/>
      <c r="T19" s="14"/>
    </row>
    <row r="20" spans="1:20" x14ac:dyDescent="0.25">
      <c r="A20" s="4">
        <v>9</v>
      </c>
      <c r="B20" s="16"/>
      <c r="C20" s="17"/>
      <c r="D20" s="7">
        <v>50913696</v>
      </c>
      <c r="E20" s="5">
        <v>18873679</v>
      </c>
      <c r="F20" s="6">
        <v>60281</v>
      </c>
      <c r="G20" s="4">
        <v>22346</v>
      </c>
      <c r="H20" s="16"/>
      <c r="I20" s="16"/>
    </row>
    <row r="21" spans="1:20" x14ac:dyDescent="0.25">
      <c r="A21" s="8">
        <v>10</v>
      </c>
      <c r="B21" s="16"/>
      <c r="C21" s="18"/>
      <c r="D21" s="9">
        <v>49247488</v>
      </c>
      <c r="E21" s="10">
        <v>18455897</v>
      </c>
      <c r="F21" s="11">
        <v>58916</v>
      </c>
      <c r="G21" s="8">
        <v>21851</v>
      </c>
      <c r="H21" s="19"/>
      <c r="I21" s="19"/>
    </row>
    <row r="22" spans="1:20" x14ac:dyDescent="0.25">
      <c r="A22" s="4">
        <v>1</v>
      </c>
      <c r="B22" s="16"/>
      <c r="C22" s="15">
        <v>256</v>
      </c>
      <c r="D22" s="5">
        <v>36117445</v>
      </c>
      <c r="E22" s="6">
        <v>17046584</v>
      </c>
      <c r="F22" s="6">
        <v>79747</v>
      </c>
      <c r="G22" s="4">
        <v>37638</v>
      </c>
      <c r="H22" s="15">
        <f>G22/1000</f>
        <v>37.637999999999998</v>
      </c>
      <c r="I22" s="15">
        <f>AVERAGE(D22:D31)/B2</f>
        <v>2579853.7642857144</v>
      </c>
    </row>
    <row r="23" spans="1:20" x14ac:dyDescent="0.25">
      <c r="A23" s="4">
        <v>2</v>
      </c>
      <c r="B23" s="16"/>
      <c r="C23" s="16"/>
      <c r="D23" s="5">
        <v>36524577</v>
      </c>
      <c r="E23" s="6">
        <v>17225403</v>
      </c>
      <c r="F23" s="6">
        <v>80646</v>
      </c>
      <c r="G23" s="4">
        <v>38033</v>
      </c>
      <c r="H23" s="16"/>
      <c r="I23" s="16"/>
    </row>
    <row r="24" spans="1:20" x14ac:dyDescent="0.25">
      <c r="A24" s="4">
        <v>3</v>
      </c>
      <c r="B24" s="16"/>
      <c r="C24" s="16"/>
      <c r="D24" s="5">
        <v>36128245</v>
      </c>
      <c r="E24" s="6">
        <v>16817442</v>
      </c>
      <c r="F24" s="6">
        <v>79771</v>
      </c>
      <c r="G24" s="4">
        <v>37132</v>
      </c>
      <c r="H24" s="16"/>
      <c r="I24" s="16"/>
    </row>
    <row r="25" spans="1:20" x14ac:dyDescent="0.25">
      <c r="A25" s="4">
        <v>4</v>
      </c>
      <c r="B25" s="16"/>
      <c r="C25" s="16"/>
      <c r="D25" s="5">
        <v>36582643</v>
      </c>
      <c r="E25" s="6">
        <v>17209120</v>
      </c>
      <c r="F25" s="6">
        <v>80774</v>
      </c>
      <c r="G25" s="4">
        <v>37997</v>
      </c>
      <c r="H25" s="16"/>
      <c r="I25" s="16"/>
    </row>
    <row r="26" spans="1:20" x14ac:dyDescent="0.25">
      <c r="A26" s="4">
        <v>5</v>
      </c>
      <c r="B26" s="16"/>
      <c r="C26" s="16"/>
      <c r="D26" s="5">
        <v>35443561</v>
      </c>
      <c r="E26" s="6">
        <v>16683583</v>
      </c>
      <c r="F26" s="6">
        <v>78259</v>
      </c>
      <c r="G26" s="4">
        <v>36837</v>
      </c>
      <c r="H26" s="16"/>
      <c r="I26" s="16"/>
    </row>
    <row r="27" spans="1:20" x14ac:dyDescent="0.25">
      <c r="A27" s="4">
        <v>6</v>
      </c>
      <c r="B27" s="16"/>
      <c r="C27" s="16"/>
      <c r="D27" s="5">
        <v>36609284</v>
      </c>
      <c r="E27" s="6">
        <v>17198856</v>
      </c>
      <c r="F27" s="6">
        <v>80814</v>
      </c>
      <c r="G27" s="4">
        <v>37975</v>
      </c>
      <c r="H27" s="16"/>
      <c r="I27" s="16"/>
    </row>
    <row r="28" spans="1:20" x14ac:dyDescent="0.25">
      <c r="A28" s="4">
        <v>7</v>
      </c>
      <c r="B28" s="16"/>
      <c r="C28" s="16"/>
      <c r="D28" s="5">
        <v>35444804</v>
      </c>
      <c r="E28" s="6">
        <v>16580350</v>
      </c>
      <c r="F28" s="6">
        <v>78252</v>
      </c>
      <c r="G28" s="4">
        <v>36609</v>
      </c>
      <c r="H28" s="16"/>
      <c r="I28" s="16"/>
    </row>
    <row r="29" spans="1:20" x14ac:dyDescent="0.25">
      <c r="A29" s="4">
        <v>8</v>
      </c>
      <c r="B29" s="16"/>
      <c r="C29" s="17"/>
      <c r="D29" s="7">
        <v>36592962</v>
      </c>
      <c r="E29" s="5">
        <v>17180451</v>
      </c>
      <c r="F29" s="6">
        <v>80797</v>
      </c>
      <c r="G29" s="4">
        <v>37934</v>
      </c>
      <c r="H29" s="16"/>
      <c r="I29" s="16"/>
    </row>
    <row r="30" spans="1:20" x14ac:dyDescent="0.25">
      <c r="A30" s="4">
        <v>9</v>
      </c>
      <c r="B30" s="16"/>
      <c r="C30" s="17"/>
      <c r="D30" s="7">
        <v>36014367</v>
      </c>
      <c r="E30" s="5">
        <v>17012551</v>
      </c>
      <c r="F30" s="6">
        <v>79519</v>
      </c>
      <c r="G30" s="4">
        <v>37563</v>
      </c>
      <c r="H30" s="16"/>
      <c r="I30" s="16"/>
    </row>
    <row r="31" spans="1:20" x14ac:dyDescent="0.25">
      <c r="A31" s="8">
        <v>10</v>
      </c>
      <c r="B31" s="16"/>
      <c r="C31" s="18"/>
      <c r="D31" s="9">
        <v>35721639</v>
      </c>
      <c r="E31" s="10">
        <v>16921495</v>
      </c>
      <c r="F31" s="11">
        <v>78873</v>
      </c>
      <c r="G31" s="8">
        <v>37362</v>
      </c>
      <c r="H31" s="19"/>
      <c r="I31" s="19"/>
    </row>
    <row r="32" spans="1:20" x14ac:dyDescent="0.25">
      <c r="A32" s="4">
        <v>1</v>
      </c>
      <c r="B32" s="16"/>
      <c r="C32" s="15">
        <v>512</v>
      </c>
      <c r="D32" s="5">
        <v>22115682</v>
      </c>
      <c r="E32" s="6">
        <v>19622512</v>
      </c>
      <c r="F32" s="6">
        <v>94124</v>
      </c>
      <c r="G32" s="4">
        <v>83513</v>
      </c>
      <c r="H32" s="15">
        <f>G32/1000</f>
        <v>83.513000000000005</v>
      </c>
      <c r="I32" s="15">
        <f>AVERAGE(D32:D41)/B2</f>
        <v>1600938.55</v>
      </c>
    </row>
    <row r="33" spans="1:9" x14ac:dyDescent="0.25">
      <c r="A33" s="4">
        <v>2</v>
      </c>
      <c r="B33" s="16"/>
      <c r="C33" s="16"/>
      <c r="D33" s="5">
        <v>22502723</v>
      </c>
      <c r="E33" s="6">
        <v>19690188</v>
      </c>
      <c r="F33" s="6">
        <v>95769</v>
      </c>
      <c r="G33" s="4">
        <v>83801</v>
      </c>
      <c r="H33" s="16"/>
      <c r="I33" s="16"/>
    </row>
    <row r="34" spans="1:9" x14ac:dyDescent="0.25">
      <c r="A34" s="4">
        <v>3</v>
      </c>
      <c r="B34" s="16"/>
      <c r="C34" s="16"/>
      <c r="D34" s="5">
        <v>21999404</v>
      </c>
      <c r="E34" s="6">
        <v>19225340</v>
      </c>
      <c r="F34" s="6">
        <v>93627</v>
      </c>
      <c r="G34" s="4">
        <v>81823</v>
      </c>
      <c r="H34" s="16"/>
      <c r="I34" s="16"/>
    </row>
    <row r="35" spans="1:9" x14ac:dyDescent="0.25">
      <c r="A35" s="4">
        <v>4</v>
      </c>
      <c r="B35" s="16"/>
      <c r="C35" s="16"/>
      <c r="D35" s="5">
        <v>22738483</v>
      </c>
      <c r="E35" s="6">
        <v>19967856</v>
      </c>
      <c r="F35" s="6">
        <v>96776</v>
      </c>
      <c r="G35" s="4">
        <v>84983</v>
      </c>
      <c r="H35" s="16"/>
      <c r="I35" s="16"/>
    </row>
    <row r="36" spans="1:9" x14ac:dyDescent="0.25">
      <c r="A36" s="4">
        <v>5</v>
      </c>
      <c r="B36" s="16"/>
      <c r="C36" s="16"/>
      <c r="D36" s="5">
        <v>22276882</v>
      </c>
      <c r="E36" s="6">
        <v>19600672</v>
      </c>
      <c r="F36" s="6">
        <v>94784</v>
      </c>
      <c r="G36" s="4">
        <v>83420</v>
      </c>
      <c r="H36" s="16"/>
      <c r="I36" s="16"/>
    </row>
    <row r="37" spans="1:9" x14ac:dyDescent="0.25">
      <c r="A37" s="4">
        <v>6</v>
      </c>
      <c r="B37" s="16"/>
      <c r="C37" s="16"/>
      <c r="D37" s="5">
        <v>22315521</v>
      </c>
      <c r="E37" s="6">
        <v>19630788</v>
      </c>
      <c r="F37" s="6">
        <v>94991</v>
      </c>
      <c r="G37" s="4">
        <v>83548</v>
      </c>
      <c r="H37" s="16"/>
      <c r="I37" s="16"/>
    </row>
    <row r="38" spans="1:9" x14ac:dyDescent="0.25">
      <c r="A38" s="4">
        <v>7</v>
      </c>
      <c r="B38" s="16"/>
      <c r="C38" s="16"/>
      <c r="D38" s="5">
        <v>22415682</v>
      </c>
      <c r="E38" s="6">
        <v>19653838</v>
      </c>
      <c r="F38" s="6">
        <v>95409</v>
      </c>
      <c r="G38" s="4">
        <v>83646</v>
      </c>
      <c r="H38" s="16"/>
      <c r="I38" s="16"/>
    </row>
    <row r="39" spans="1:9" x14ac:dyDescent="0.25">
      <c r="A39" s="4">
        <v>8</v>
      </c>
      <c r="B39" s="16"/>
      <c r="C39" s="17"/>
      <c r="D39" s="7">
        <v>22630244</v>
      </c>
      <c r="E39" s="5">
        <v>19655646</v>
      </c>
      <c r="F39" s="6">
        <v>96326</v>
      </c>
      <c r="G39" s="4">
        <v>83654</v>
      </c>
      <c r="H39" s="16"/>
      <c r="I39" s="16"/>
    </row>
    <row r="40" spans="1:9" x14ac:dyDescent="0.25">
      <c r="A40" s="4">
        <v>9</v>
      </c>
      <c r="B40" s="16"/>
      <c r="C40" s="17"/>
      <c r="D40" s="7">
        <v>22346089</v>
      </c>
      <c r="E40" s="5">
        <v>19655988</v>
      </c>
      <c r="F40" s="6">
        <v>95098</v>
      </c>
      <c r="G40" s="4">
        <v>83655</v>
      </c>
      <c r="H40" s="16"/>
      <c r="I40" s="16"/>
    </row>
    <row r="41" spans="1:9" x14ac:dyDescent="0.25">
      <c r="A41" s="8">
        <v>10</v>
      </c>
      <c r="B41" s="16"/>
      <c r="C41" s="18"/>
      <c r="D41" s="9">
        <v>22790687</v>
      </c>
      <c r="E41" s="10">
        <v>20006236</v>
      </c>
      <c r="F41" s="11">
        <v>96997</v>
      </c>
      <c r="G41" s="8">
        <v>85146</v>
      </c>
      <c r="H41" s="19"/>
      <c r="I41" s="19"/>
    </row>
    <row r="42" spans="1:9" x14ac:dyDescent="0.25">
      <c r="A42" s="4">
        <v>1</v>
      </c>
      <c r="B42" s="16"/>
      <c r="C42" s="15">
        <v>1024</v>
      </c>
      <c r="D42" s="5">
        <v>11787200</v>
      </c>
      <c r="E42" s="6">
        <v>11772314</v>
      </c>
      <c r="F42" s="6">
        <v>98446</v>
      </c>
      <c r="G42" s="4">
        <v>98322</v>
      </c>
      <c r="H42" s="15">
        <f>G42/1000</f>
        <v>98.322000000000003</v>
      </c>
      <c r="I42" s="15">
        <f>AVERAGE(D42:D51)/B2</f>
        <v>846928.22857142857</v>
      </c>
    </row>
    <row r="43" spans="1:9" x14ac:dyDescent="0.25">
      <c r="A43" s="4">
        <v>2</v>
      </c>
      <c r="B43" s="16"/>
      <c r="C43" s="16"/>
      <c r="D43" s="5">
        <v>11791744</v>
      </c>
      <c r="E43" s="6">
        <v>11791774</v>
      </c>
      <c r="F43" s="6">
        <v>98484</v>
      </c>
      <c r="G43" s="4">
        <v>98484</v>
      </c>
      <c r="H43" s="16"/>
      <c r="I43" s="16"/>
    </row>
    <row r="44" spans="1:9" x14ac:dyDescent="0.25">
      <c r="A44" s="4">
        <v>3</v>
      </c>
      <c r="B44" s="16"/>
      <c r="C44" s="16"/>
      <c r="D44" s="5">
        <v>11884288</v>
      </c>
      <c r="E44" s="6">
        <v>11881351</v>
      </c>
      <c r="F44" s="6">
        <v>99257</v>
      </c>
      <c r="G44" s="4">
        <v>99233</v>
      </c>
      <c r="H44" s="16"/>
      <c r="I44" s="16"/>
    </row>
    <row r="45" spans="1:9" x14ac:dyDescent="0.25">
      <c r="A45" s="4">
        <v>4</v>
      </c>
      <c r="B45" s="16"/>
      <c r="C45" s="16"/>
      <c r="D45" s="5">
        <v>11977440</v>
      </c>
      <c r="E45" s="6">
        <v>11968898</v>
      </c>
      <c r="F45" s="6">
        <v>100035</v>
      </c>
      <c r="G45" s="4">
        <v>99964</v>
      </c>
      <c r="H45" s="16"/>
      <c r="I45" s="16"/>
    </row>
    <row r="46" spans="1:9" x14ac:dyDescent="0.25">
      <c r="A46" s="4">
        <v>5</v>
      </c>
      <c r="B46" s="16"/>
      <c r="C46" s="16"/>
      <c r="D46" s="5">
        <v>11792256</v>
      </c>
      <c r="E46" s="6">
        <v>11790878</v>
      </c>
      <c r="F46" s="6">
        <v>98488</v>
      </c>
      <c r="G46" s="4">
        <v>98477</v>
      </c>
      <c r="H46" s="16"/>
      <c r="I46" s="16"/>
    </row>
    <row r="47" spans="1:9" x14ac:dyDescent="0.25">
      <c r="A47" s="4">
        <v>6</v>
      </c>
      <c r="B47" s="16"/>
      <c r="C47" s="16"/>
      <c r="D47" s="5">
        <v>11969344</v>
      </c>
      <c r="E47" s="6">
        <v>11967794</v>
      </c>
      <c r="F47" s="6">
        <v>99967</v>
      </c>
      <c r="G47" s="4">
        <v>99955</v>
      </c>
      <c r="H47" s="16"/>
      <c r="I47" s="16"/>
    </row>
    <row r="48" spans="1:9" x14ac:dyDescent="0.25">
      <c r="A48" s="4">
        <v>7</v>
      </c>
      <c r="B48" s="16"/>
      <c r="C48" s="16"/>
      <c r="D48" s="5">
        <v>11784672</v>
      </c>
      <c r="E48" s="6">
        <v>11782218</v>
      </c>
      <c r="F48" s="6">
        <v>98425</v>
      </c>
      <c r="G48" s="4">
        <v>98405</v>
      </c>
      <c r="H48" s="16"/>
      <c r="I48" s="16"/>
    </row>
    <row r="49" spans="1:9" x14ac:dyDescent="0.25">
      <c r="A49" s="4">
        <v>8</v>
      </c>
      <c r="B49" s="16"/>
      <c r="C49" s="17"/>
      <c r="D49" s="7">
        <v>11873824</v>
      </c>
      <c r="E49" s="5">
        <v>11872404</v>
      </c>
      <c r="F49" s="6">
        <v>99170</v>
      </c>
      <c r="G49" s="4">
        <v>99158</v>
      </c>
      <c r="H49" s="16"/>
      <c r="I49" s="16"/>
    </row>
    <row r="50" spans="1:9" x14ac:dyDescent="0.25">
      <c r="A50" s="4">
        <v>9</v>
      </c>
      <c r="B50" s="16"/>
      <c r="C50" s="17"/>
      <c r="D50" s="7">
        <v>11847808</v>
      </c>
      <c r="E50" s="5">
        <v>11832104</v>
      </c>
      <c r="F50" s="6">
        <v>98952</v>
      </c>
      <c r="G50" s="4">
        <v>98821</v>
      </c>
      <c r="H50" s="16"/>
      <c r="I50" s="16"/>
    </row>
    <row r="51" spans="1:9" x14ac:dyDescent="0.25">
      <c r="A51" s="8">
        <v>10</v>
      </c>
      <c r="B51" s="16"/>
      <c r="C51" s="18"/>
      <c r="D51" s="9">
        <v>11861376</v>
      </c>
      <c r="E51" s="10">
        <v>11861248</v>
      </c>
      <c r="F51" s="11">
        <v>99066</v>
      </c>
      <c r="G51" s="8">
        <v>99065</v>
      </c>
      <c r="H51" s="19"/>
      <c r="I51" s="19"/>
    </row>
    <row r="52" spans="1:9" x14ac:dyDescent="0.25">
      <c r="A52" s="4">
        <v>1</v>
      </c>
      <c r="B52" s="16"/>
      <c r="C52" s="15">
        <v>1500</v>
      </c>
      <c r="D52" s="5">
        <v>8261184</v>
      </c>
      <c r="E52" s="6">
        <v>8211051</v>
      </c>
      <c r="F52" s="6">
        <v>100455</v>
      </c>
      <c r="G52" s="4">
        <v>99846</v>
      </c>
      <c r="H52" s="15">
        <f>G52/1000</f>
        <v>99.846000000000004</v>
      </c>
      <c r="I52" s="15">
        <f>AVERAGE(D52:D61)/B2</f>
        <v>587169.82857142854</v>
      </c>
    </row>
    <row r="53" spans="1:9" x14ac:dyDescent="0.25">
      <c r="A53" s="4">
        <v>2</v>
      </c>
      <c r="B53" s="16"/>
      <c r="C53" s="16"/>
      <c r="D53" s="5">
        <v>8285440</v>
      </c>
      <c r="E53" s="6">
        <v>8172720</v>
      </c>
      <c r="F53" s="6">
        <v>100750</v>
      </c>
      <c r="G53" s="4">
        <v>99380</v>
      </c>
      <c r="H53" s="16"/>
      <c r="I53" s="16"/>
    </row>
    <row r="54" spans="1:9" x14ac:dyDescent="0.25">
      <c r="A54" s="4">
        <v>3</v>
      </c>
      <c r="B54" s="16"/>
      <c r="C54" s="16"/>
      <c r="D54" s="5">
        <v>8162720</v>
      </c>
      <c r="E54" s="6">
        <v>8143454</v>
      </c>
      <c r="F54" s="6">
        <v>99258</v>
      </c>
      <c r="G54" s="4">
        <v>99024</v>
      </c>
      <c r="H54" s="16"/>
      <c r="I54" s="16"/>
    </row>
    <row r="55" spans="1:9" x14ac:dyDescent="0.25">
      <c r="A55" s="4">
        <v>4</v>
      </c>
      <c r="B55" s="16"/>
      <c r="C55" s="16"/>
      <c r="D55" s="5">
        <v>8264832</v>
      </c>
      <c r="E55" s="6">
        <v>8262881</v>
      </c>
      <c r="F55" s="6">
        <v>100500</v>
      </c>
      <c r="G55" s="4">
        <v>100476</v>
      </c>
      <c r="H55" s="16"/>
      <c r="I55" s="16"/>
    </row>
    <row r="56" spans="1:9" x14ac:dyDescent="0.25">
      <c r="A56" s="4">
        <v>5</v>
      </c>
      <c r="B56" s="16"/>
      <c r="C56" s="16"/>
      <c r="D56" s="5">
        <v>8071744</v>
      </c>
      <c r="E56" s="6">
        <v>8041584</v>
      </c>
      <c r="F56" s="6">
        <v>98152</v>
      </c>
      <c r="G56" s="4">
        <v>97785</v>
      </c>
      <c r="H56" s="16"/>
      <c r="I56" s="16"/>
    </row>
    <row r="57" spans="1:9" x14ac:dyDescent="0.25">
      <c r="A57" s="4">
        <v>6</v>
      </c>
      <c r="B57" s="16"/>
      <c r="C57" s="16"/>
      <c r="D57" s="5">
        <v>8233248</v>
      </c>
      <c r="E57" s="6">
        <v>8233206</v>
      </c>
      <c r="F57" s="6">
        <v>100116</v>
      </c>
      <c r="G57" s="4">
        <v>100115</v>
      </c>
      <c r="H57" s="16"/>
      <c r="I57" s="16"/>
    </row>
    <row r="58" spans="1:9" x14ac:dyDescent="0.25">
      <c r="A58" s="4">
        <v>7</v>
      </c>
      <c r="B58" s="16"/>
      <c r="C58" s="16"/>
      <c r="D58" s="5">
        <v>8295424</v>
      </c>
      <c r="E58" s="6">
        <v>8292920</v>
      </c>
      <c r="F58" s="6">
        <v>100872</v>
      </c>
      <c r="G58" s="4">
        <v>100841</v>
      </c>
      <c r="H58" s="16"/>
      <c r="I58" s="16"/>
    </row>
    <row r="59" spans="1:9" x14ac:dyDescent="0.25">
      <c r="A59" s="4">
        <v>8</v>
      </c>
      <c r="B59" s="16"/>
      <c r="C59" s="17"/>
      <c r="D59" s="7">
        <v>8163712</v>
      </c>
      <c r="E59" s="5">
        <v>8163633</v>
      </c>
      <c r="F59" s="6">
        <v>99270</v>
      </c>
      <c r="G59" s="4">
        <v>99269</v>
      </c>
      <c r="H59" s="16"/>
      <c r="I59" s="16"/>
    </row>
    <row r="60" spans="1:9" x14ac:dyDescent="0.25">
      <c r="A60" s="4">
        <v>9</v>
      </c>
      <c r="B60" s="16"/>
      <c r="C60" s="17"/>
      <c r="D60" s="7">
        <v>8167968</v>
      </c>
      <c r="E60" s="5">
        <v>8161483</v>
      </c>
      <c r="F60" s="6">
        <v>99322</v>
      </c>
      <c r="G60" s="4">
        <v>99243</v>
      </c>
      <c r="H60" s="16"/>
      <c r="I60" s="16"/>
    </row>
    <row r="61" spans="1:9" x14ac:dyDescent="0.25">
      <c r="A61" s="8">
        <v>10</v>
      </c>
      <c r="B61" s="19"/>
      <c r="C61" s="18"/>
      <c r="D61" s="9">
        <v>8297504</v>
      </c>
      <c r="E61" s="10">
        <v>8295884</v>
      </c>
      <c r="F61" s="11">
        <v>100898</v>
      </c>
      <c r="G61" s="8">
        <v>100877</v>
      </c>
      <c r="H61" s="19"/>
      <c r="I61" s="19"/>
    </row>
  </sheetData>
  <mergeCells count="19">
    <mergeCell ref="C32:C41"/>
    <mergeCell ref="H32:H41"/>
    <mergeCell ref="I32:I41"/>
    <mergeCell ref="C42:C51"/>
    <mergeCell ref="H42:H51"/>
    <mergeCell ref="I42:I51"/>
    <mergeCell ref="B2:B61"/>
    <mergeCell ref="C2:C11"/>
    <mergeCell ref="H2:H11"/>
    <mergeCell ref="I2:I11"/>
    <mergeCell ref="C12:C21"/>
    <mergeCell ref="H12:H21"/>
    <mergeCell ref="I12:I21"/>
    <mergeCell ref="C22:C31"/>
    <mergeCell ref="H22:H31"/>
    <mergeCell ref="I22:I31"/>
    <mergeCell ref="C52:C61"/>
    <mergeCell ref="H52:H61"/>
    <mergeCell ref="I52:I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GSPN, Amith</dc:creator>
  <cp:lastModifiedBy>Gspn Amith</cp:lastModifiedBy>
  <dcterms:created xsi:type="dcterms:W3CDTF">2026-02-12T15:42:49Z</dcterms:created>
  <dcterms:modified xsi:type="dcterms:W3CDTF">2026-02-20T18:27:07Z</dcterms:modified>
</cp:coreProperties>
</file>