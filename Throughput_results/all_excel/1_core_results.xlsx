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aper 2\Throughput_results\"/>
    </mc:Choice>
  </mc:AlternateContent>
  <xr:revisionPtr revIDLastSave="0" documentId="13_ncr:1_{F6ED1085-859E-48D3-9229-362C4608E16C}" xr6:coauthVersionLast="47" xr6:coauthVersionMax="47" xr10:uidLastSave="{00000000-0000-0000-0000-000000000000}"/>
  <bookViews>
    <workbookView xWindow="4680" yWindow="4680" windowWidth="20280" windowHeight="15885" xr2:uid="{36C3F826-1AEE-4662-B0CA-639EDB37EB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1" l="1"/>
  <c r="H52" i="1"/>
  <c r="I42" i="1"/>
  <c r="H42" i="1"/>
  <c r="I32" i="1"/>
  <c r="H32" i="1"/>
  <c r="I22" i="1"/>
  <c r="H22" i="1"/>
  <c r="I12" i="1"/>
  <c r="H12" i="1"/>
  <c r="I2" i="1"/>
  <c r="H2" i="1"/>
</calcChain>
</file>

<file path=xl/sharedStrings.xml><?xml version="1.0" encoding="utf-8"?>
<sst xmlns="http://schemas.openxmlformats.org/spreadsheetml/2006/main" count="9" uniqueCount="9">
  <si>
    <t>Sec</t>
  </si>
  <si>
    <t>Core Count</t>
  </si>
  <si>
    <t>Packet Size (Bytes)</t>
  </si>
  <si>
    <t>TX pps</t>
  </si>
  <si>
    <t>RX pps</t>
  </si>
  <si>
    <t>TX Mbps</t>
  </si>
  <si>
    <t>RX Mbps</t>
  </si>
  <si>
    <t>RX Gbps (Calculated)</t>
  </si>
  <si>
    <t>pps /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</si>
</sst>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5" xfId="0" applyNumberForma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 wrapText="1"/>
    </xf>
    <xf numFmtId="3" fontId="0" fillId="0" borderId="8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D989-159D-4D84-BA2E-A9863A1954E7}">
  <dimension ref="A1:I61"/>
  <sheetViews>
    <sheetView tabSelected="1" workbookViewId="0">
      <selection sqref="A1:I1048576"/>
    </sheetView>
  </sheetViews>
  <sheetFormatPr defaultRowHeight="15" x14ac:dyDescent="0.25"/>
  <cols>
    <col min="1" max="1" width="9.140625" style="22"/>
    <col min="2" max="2" width="14.7109375" style="22" customWidth="1"/>
    <col min="3" max="3" width="19.42578125" customWidth="1"/>
    <col min="4" max="4" width="14.28515625" style="22" customWidth="1"/>
    <col min="5" max="5" width="14" style="22" customWidth="1"/>
    <col min="6" max="6" width="15" style="22" customWidth="1"/>
    <col min="7" max="7" width="13.85546875" style="22" customWidth="1"/>
    <col min="8" max="8" width="26.28515625" customWidth="1"/>
    <col min="9" max="9" width="25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</row>
    <row r="2" spans="1:9" x14ac:dyDescent="0.25">
      <c r="A2" s="4">
        <v>1</v>
      </c>
      <c r="B2" s="26">
        <v>1</v>
      </c>
      <c r="C2" s="26">
        <v>64</v>
      </c>
      <c r="D2" s="5">
        <v>43264768</v>
      </c>
      <c r="E2" s="6">
        <v>850939</v>
      </c>
      <c r="F2" s="6">
        <v>29073</v>
      </c>
      <c r="G2" s="4">
        <v>571</v>
      </c>
      <c r="H2" s="26">
        <f>AVERAGE(G2:G11)/1000</f>
        <v>0.57750000000000001</v>
      </c>
      <c r="I2" s="26">
        <f>AVERAGE(E2:E11)/B2</f>
        <v>860683.4</v>
      </c>
    </row>
    <row r="3" spans="1:9" x14ac:dyDescent="0.25">
      <c r="A3" s="4">
        <v>2</v>
      </c>
      <c r="B3" s="27"/>
      <c r="C3" s="27"/>
      <c r="D3" s="5">
        <v>43540000</v>
      </c>
      <c r="E3" s="6">
        <v>853381</v>
      </c>
      <c r="F3" s="6">
        <v>29258</v>
      </c>
      <c r="G3" s="4">
        <v>573</v>
      </c>
      <c r="H3" s="27"/>
      <c r="I3" s="27"/>
    </row>
    <row r="4" spans="1:9" x14ac:dyDescent="0.25">
      <c r="A4" s="4">
        <v>3</v>
      </c>
      <c r="B4" s="27"/>
      <c r="C4" s="27"/>
      <c r="D4" s="5">
        <v>43515776</v>
      </c>
      <c r="E4" s="6">
        <v>855074</v>
      </c>
      <c r="F4" s="6">
        <v>29242</v>
      </c>
      <c r="G4" s="4">
        <v>574</v>
      </c>
      <c r="H4" s="27"/>
      <c r="I4" s="27"/>
    </row>
    <row r="5" spans="1:9" x14ac:dyDescent="0.25">
      <c r="A5" s="4">
        <v>4</v>
      </c>
      <c r="B5" s="27"/>
      <c r="C5" s="27"/>
      <c r="D5" s="5">
        <v>43948288</v>
      </c>
      <c r="E5" s="6">
        <v>862847</v>
      </c>
      <c r="F5" s="6">
        <v>29533</v>
      </c>
      <c r="G5" s="4">
        <v>579</v>
      </c>
      <c r="H5" s="27"/>
      <c r="I5" s="27"/>
    </row>
    <row r="6" spans="1:9" x14ac:dyDescent="0.25">
      <c r="A6" s="4">
        <v>5</v>
      </c>
      <c r="B6" s="27"/>
      <c r="C6" s="27"/>
      <c r="D6" s="5">
        <v>43906464</v>
      </c>
      <c r="E6" s="6">
        <v>861402</v>
      </c>
      <c r="F6" s="6">
        <v>29505</v>
      </c>
      <c r="G6" s="4">
        <v>578</v>
      </c>
      <c r="H6" s="27"/>
      <c r="I6" s="27"/>
    </row>
    <row r="7" spans="1:9" x14ac:dyDescent="0.25">
      <c r="A7" s="4">
        <v>6</v>
      </c>
      <c r="B7" s="27"/>
      <c r="C7" s="27"/>
      <c r="D7" s="5">
        <v>43751360</v>
      </c>
      <c r="E7" s="6">
        <v>861804</v>
      </c>
      <c r="F7" s="6">
        <v>29400</v>
      </c>
      <c r="G7" s="4">
        <v>579</v>
      </c>
      <c r="H7" s="27"/>
      <c r="I7" s="27"/>
    </row>
    <row r="8" spans="1:9" x14ac:dyDescent="0.25">
      <c r="A8" s="4">
        <v>7</v>
      </c>
      <c r="B8" s="27"/>
      <c r="C8" s="27"/>
      <c r="D8" s="5">
        <v>43518912</v>
      </c>
      <c r="E8" s="6">
        <v>858209</v>
      </c>
      <c r="F8" s="6">
        <v>29244</v>
      </c>
      <c r="G8" s="4">
        <v>576</v>
      </c>
      <c r="H8" s="27"/>
      <c r="I8" s="27"/>
    </row>
    <row r="9" spans="1:9" x14ac:dyDescent="0.25">
      <c r="A9" s="4">
        <v>8</v>
      </c>
      <c r="B9" s="27"/>
      <c r="C9" s="24"/>
      <c r="D9" s="7">
        <v>43705345</v>
      </c>
      <c r="E9" s="5">
        <v>865560</v>
      </c>
      <c r="F9" s="6">
        <v>29365</v>
      </c>
      <c r="G9" s="4">
        <v>579</v>
      </c>
      <c r="H9" s="27"/>
      <c r="I9" s="27"/>
    </row>
    <row r="10" spans="1:9" x14ac:dyDescent="0.25">
      <c r="A10" s="4">
        <v>9</v>
      </c>
      <c r="B10" s="27"/>
      <c r="C10" s="24"/>
      <c r="D10" s="7">
        <v>43957897</v>
      </c>
      <c r="E10" s="5">
        <v>867350</v>
      </c>
      <c r="F10" s="6">
        <v>29465</v>
      </c>
      <c r="G10" s="4">
        <v>582</v>
      </c>
      <c r="H10" s="27"/>
      <c r="I10" s="27"/>
    </row>
    <row r="11" spans="1:9" x14ac:dyDescent="0.25">
      <c r="A11" s="8">
        <v>10</v>
      </c>
      <c r="B11" s="27"/>
      <c r="C11" s="25"/>
      <c r="D11" s="9">
        <v>44186624</v>
      </c>
      <c r="E11" s="10">
        <v>870268</v>
      </c>
      <c r="F11" s="11">
        <v>29693</v>
      </c>
      <c r="G11" s="8">
        <v>584</v>
      </c>
      <c r="H11" s="28"/>
      <c r="I11" s="28"/>
    </row>
    <row r="12" spans="1:9" x14ac:dyDescent="0.25">
      <c r="A12" s="4">
        <v>1</v>
      </c>
      <c r="B12" s="27"/>
      <c r="C12" s="26">
        <v>128</v>
      </c>
      <c r="D12" s="5">
        <v>51919776</v>
      </c>
      <c r="E12" s="6">
        <v>888472</v>
      </c>
      <c r="F12" s="6">
        <v>61473</v>
      </c>
      <c r="G12" s="4">
        <v>1051</v>
      </c>
      <c r="H12" s="26">
        <f>AVERAGE(G12:G21)/1000</f>
        <v>1.0572999999999999</v>
      </c>
      <c r="I12" s="26">
        <f>AVERAGE(E12:E21)/B2</f>
        <v>893472.3</v>
      </c>
    </row>
    <row r="13" spans="1:9" x14ac:dyDescent="0.25">
      <c r="A13" s="4">
        <v>2</v>
      </c>
      <c r="B13" s="27"/>
      <c r="C13" s="27"/>
      <c r="D13" s="5">
        <v>52522944</v>
      </c>
      <c r="E13" s="6">
        <v>901016</v>
      </c>
      <c r="F13" s="6">
        <v>62187</v>
      </c>
      <c r="G13" s="4">
        <v>1066</v>
      </c>
      <c r="H13" s="27"/>
      <c r="I13" s="27"/>
    </row>
    <row r="14" spans="1:9" x14ac:dyDescent="0.25">
      <c r="A14" s="4">
        <v>3</v>
      </c>
      <c r="B14" s="27"/>
      <c r="C14" s="27"/>
      <c r="D14" s="5">
        <v>52015232</v>
      </c>
      <c r="E14" s="6">
        <v>898500</v>
      </c>
      <c r="F14" s="6">
        <v>61586</v>
      </c>
      <c r="G14" s="4">
        <v>1063</v>
      </c>
      <c r="H14" s="27"/>
      <c r="I14" s="27"/>
    </row>
    <row r="15" spans="1:9" x14ac:dyDescent="0.25">
      <c r="A15" s="4">
        <v>4</v>
      </c>
      <c r="B15" s="27"/>
      <c r="C15" s="27"/>
      <c r="D15" s="5">
        <v>52784000</v>
      </c>
      <c r="E15" s="6">
        <v>901509</v>
      </c>
      <c r="F15" s="6">
        <v>62496</v>
      </c>
      <c r="G15" s="4">
        <v>1067</v>
      </c>
      <c r="H15" s="27"/>
      <c r="I15" s="27"/>
    </row>
    <row r="16" spans="1:9" x14ac:dyDescent="0.25">
      <c r="A16" s="4">
        <v>5</v>
      </c>
      <c r="B16" s="27"/>
      <c r="C16" s="27"/>
      <c r="D16" s="5">
        <v>52709984</v>
      </c>
      <c r="E16" s="6">
        <v>906002</v>
      </c>
      <c r="F16" s="6">
        <v>62408</v>
      </c>
      <c r="G16" s="4">
        <v>1072</v>
      </c>
      <c r="H16" s="27"/>
      <c r="I16" s="27"/>
    </row>
    <row r="17" spans="1:9" x14ac:dyDescent="0.25">
      <c r="A17" s="4">
        <v>6</v>
      </c>
      <c r="B17" s="27"/>
      <c r="C17" s="27"/>
      <c r="D17" s="5">
        <v>52870912</v>
      </c>
      <c r="E17" s="6">
        <v>911658</v>
      </c>
      <c r="F17" s="6">
        <v>62599</v>
      </c>
      <c r="G17" s="4">
        <v>1079</v>
      </c>
      <c r="H17" s="27"/>
      <c r="I17" s="27"/>
    </row>
    <row r="18" spans="1:9" x14ac:dyDescent="0.25">
      <c r="A18" s="4">
        <v>7</v>
      </c>
      <c r="B18" s="27"/>
      <c r="C18" s="27"/>
      <c r="D18" s="5">
        <v>51188864</v>
      </c>
      <c r="E18" s="6">
        <v>877349</v>
      </c>
      <c r="F18" s="6">
        <v>60607</v>
      </c>
      <c r="G18" s="4">
        <v>1038</v>
      </c>
      <c r="H18" s="27"/>
      <c r="I18" s="27"/>
    </row>
    <row r="19" spans="1:9" x14ac:dyDescent="0.25">
      <c r="A19" s="4">
        <v>8</v>
      </c>
      <c r="B19" s="27"/>
      <c r="C19" s="24"/>
      <c r="D19" s="7">
        <v>52399456</v>
      </c>
      <c r="E19" s="5">
        <v>885207</v>
      </c>
      <c r="F19" s="6">
        <v>62040</v>
      </c>
      <c r="G19" s="4">
        <v>1048</v>
      </c>
      <c r="H19" s="27"/>
      <c r="I19" s="27"/>
    </row>
    <row r="20" spans="1:9" x14ac:dyDescent="0.25">
      <c r="A20" s="4">
        <v>9</v>
      </c>
      <c r="B20" s="27"/>
      <c r="C20" s="24"/>
      <c r="D20" s="7">
        <v>51551296</v>
      </c>
      <c r="E20" s="5">
        <v>869398</v>
      </c>
      <c r="F20" s="6">
        <v>61036</v>
      </c>
      <c r="G20" s="4">
        <v>1029</v>
      </c>
      <c r="H20" s="27"/>
      <c r="I20" s="27"/>
    </row>
    <row r="21" spans="1:9" x14ac:dyDescent="0.25">
      <c r="A21" s="8">
        <v>10</v>
      </c>
      <c r="B21" s="27"/>
      <c r="C21" s="25"/>
      <c r="D21" s="9">
        <v>52592608</v>
      </c>
      <c r="E21" s="10">
        <v>895612</v>
      </c>
      <c r="F21" s="11">
        <v>62269</v>
      </c>
      <c r="G21" s="8">
        <v>1060</v>
      </c>
      <c r="H21" s="28"/>
      <c r="I21" s="28"/>
    </row>
    <row r="22" spans="1:9" x14ac:dyDescent="0.25">
      <c r="A22" s="4">
        <v>1</v>
      </c>
      <c r="B22" s="27"/>
      <c r="C22" s="23">
        <v>256</v>
      </c>
      <c r="D22" s="12">
        <v>37185024</v>
      </c>
      <c r="E22" s="12">
        <v>981479</v>
      </c>
      <c r="F22" s="13">
        <v>82104</v>
      </c>
      <c r="G22" s="14">
        <v>2167</v>
      </c>
      <c r="H22" s="26">
        <f>AVERAGE(G22:G31)/1000</f>
        <v>2.1381999999999999</v>
      </c>
      <c r="I22" s="26">
        <f>AVERAGE(E22:E31)/B2</f>
        <v>968652.5</v>
      </c>
    </row>
    <row r="23" spans="1:9" x14ac:dyDescent="0.25">
      <c r="A23" s="4">
        <v>2</v>
      </c>
      <c r="B23" s="27"/>
      <c r="C23" s="24"/>
      <c r="D23" s="15">
        <v>36772672</v>
      </c>
      <c r="E23" s="15">
        <v>964168</v>
      </c>
      <c r="F23" s="13">
        <v>81194</v>
      </c>
      <c r="G23" s="16">
        <v>2128</v>
      </c>
      <c r="H23" s="27"/>
      <c r="I23" s="27"/>
    </row>
    <row r="24" spans="1:9" x14ac:dyDescent="0.25">
      <c r="A24" s="4">
        <v>3</v>
      </c>
      <c r="B24" s="27"/>
      <c r="C24" s="24"/>
      <c r="D24" s="15">
        <v>37353344</v>
      </c>
      <c r="E24" s="15">
        <v>983880</v>
      </c>
      <c r="F24" s="13">
        <v>82476</v>
      </c>
      <c r="G24" s="16">
        <v>2172</v>
      </c>
      <c r="H24" s="27"/>
      <c r="I24" s="27"/>
    </row>
    <row r="25" spans="1:9" x14ac:dyDescent="0.25">
      <c r="A25" s="4">
        <v>4</v>
      </c>
      <c r="B25" s="27"/>
      <c r="C25" s="24"/>
      <c r="D25" s="15">
        <v>36338176</v>
      </c>
      <c r="E25" s="15">
        <v>948958</v>
      </c>
      <c r="F25" s="13">
        <v>80234</v>
      </c>
      <c r="G25" s="16">
        <v>2095</v>
      </c>
      <c r="H25" s="27"/>
      <c r="I25" s="27"/>
    </row>
    <row r="26" spans="1:9" x14ac:dyDescent="0.25">
      <c r="A26" s="4">
        <v>5</v>
      </c>
      <c r="B26" s="27"/>
      <c r="C26" s="24"/>
      <c r="D26" s="15">
        <v>36790304</v>
      </c>
      <c r="E26" s="15">
        <v>966469</v>
      </c>
      <c r="F26" s="13">
        <v>81232</v>
      </c>
      <c r="G26" s="16">
        <v>2133</v>
      </c>
      <c r="H26" s="27"/>
      <c r="I26" s="27"/>
    </row>
    <row r="27" spans="1:9" x14ac:dyDescent="0.25">
      <c r="A27" s="4">
        <v>6</v>
      </c>
      <c r="B27" s="27"/>
      <c r="C27" s="24"/>
      <c r="D27" s="15">
        <v>36789952</v>
      </c>
      <c r="E27" s="15">
        <v>963683</v>
      </c>
      <c r="F27" s="13">
        <v>81223</v>
      </c>
      <c r="G27" s="16">
        <v>2127</v>
      </c>
      <c r="H27" s="27"/>
      <c r="I27" s="27"/>
    </row>
    <row r="28" spans="1:9" x14ac:dyDescent="0.25">
      <c r="A28" s="4">
        <v>7</v>
      </c>
      <c r="B28" s="27"/>
      <c r="C28" s="24"/>
      <c r="D28" s="15">
        <v>37229376</v>
      </c>
      <c r="E28" s="15">
        <v>974938</v>
      </c>
      <c r="F28" s="13">
        <v>82202</v>
      </c>
      <c r="G28" s="16">
        <v>2152</v>
      </c>
      <c r="H28" s="27"/>
      <c r="I28" s="27"/>
    </row>
    <row r="29" spans="1:9" x14ac:dyDescent="0.25">
      <c r="A29" s="4">
        <v>8</v>
      </c>
      <c r="B29" s="27"/>
      <c r="C29" s="24"/>
      <c r="D29" s="15">
        <v>36238528</v>
      </c>
      <c r="E29" s="15">
        <v>956815</v>
      </c>
      <c r="F29" s="13">
        <v>80014</v>
      </c>
      <c r="G29" s="16">
        <v>2112</v>
      </c>
      <c r="H29" s="27"/>
      <c r="I29" s="27"/>
    </row>
    <row r="30" spans="1:9" x14ac:dyDescent="0.25">
      <c r="A30" s="4">
        <v>9</v>
      </c>
      <c r="B30" s="27"/>
      <c r="C30" s="24"/>
      <c r="D30" s="15">
        <v>37225408</v>
      </c>
      <c r="E30" s="15">
        <v>974620</v>
      </c>
      <c r="F30" s="13">
        <v>82193</v>
      </c>
      <c r="G30" s="16">
        <v>2151</v>
      </c>
      <c r="H30" s="27"/>
      <c r="I30" s="27"/>
    </row>
    <row r="31" spans="1:9" x14ac:dyDescent="0.25">
      <c r="A31" s="8">
        <v>10</v>
      </c>
      <c r="B31" s="27"/>
      <c r="C31" s="25"/>
      <c r="D31" s="17">
        <v>37346464</v>
      </c>
      <c r="E31" s="17">
        <v>971515</v>
      </c>
      <c r="F31" s="13">
        <v>82461</v>
      </c>
      <c r="G31" s="18">
        <v>2145</v>
      </c>
      <c r="H31" s="28"/>
      <c r="I31" s="28"/>
    </row>
    <row r="32" spans="1:9" x14ac:dyDescent="0.25">
      <c r="A32" s="4">
        <v>1</v>
      </c>
      <c r="B32" s="27"/>
      <c r="C32" s="26">
        <v>512</v>
      </c>
      <c r="D32" s="13">
        <v>22695424</v>
      </c>
      <c r="E32" s="19">
        <v>964315</v>
      </c>
      <c r="F32" s="12">
        <v>96591</v>
      </c>
      <c r="G32" s="12">
        <v>4104</v>
      </c>
      <c r="H32" s="26">
        <f>AVERAGE(G32:G41)/1000</f>
        <v>4.1603000000000003</v>
      </c>
      <c r="I32" s="26">
        <f>AVERAGE(E32:E41)/B2</f>
        <v>977654.3</v>
      </c>
    </row>
    <row r="33" spans="1:9" x14ac:dyDescent="0.25">
      <c r="A33" s="4">
        <v>2</v>
      </c>
      <c r="B33" s="27"/>
      <c r="C33" s="27"/>
      <c r="D33" s="13">
        <v>22882144</v>
      </c>
      <c r="E33" s="20">
        <v>976401</v>
      </c>
      <c r="F33" s="15">
        <v>97386</v>
      </c>
      <c r="G33" s="15">
        <v>4155</v>
      </c>
      <c r="H33" s="27"/>
      <c r="I33" s="27"/>
    </row>
    <row r="34" spans="1:9" x14ac:dyDescent="0.25">
      <c r="A34" s="4">
        <v>3</v>
      </c>
      <c r="B34" s="27"/>
      <c r="C34" s="27"/>
      <c r="D34" s="13">
        <v>22978624</v>
      </c>
      <c r="E34" s="20">
        <v>982091</v>
      </c>
      <c r="F34" s="15">
        <v>97797</v>
      </c>
      <c r="G34" s="15">
        <v>4179</v>
      </c>
      <c r="H34" s="27"/>
      <c r="I34" s="27"/>
    </row>
    <row r="35" spans="1:9" x14ac:dyDescent="0.25">
      <c r="A35" s="4">
        <v>4</v>
      </c>
      <c r="B35" s="27"/>
      <c r="C35" s="27"/>
      <c r="D35" s="13">
        <v>22437344</v>
      </c>
      <c r="E35" s="20">
        <v>958909</v>
      </c>
      <c r="F35" s="15">
        <v>95493</v>
      </c>
      <c r="G35" s="15">
        <v>4081</v>
      </c>
      <c r="H35" s="27"/>
      <c r="I35" s="27"/>
    </row>
    <row r="36" spans="1:9" x14ac:dyDescent="0.25">
      <c r="A36" s="4">
        <v>5</v>
      </c>
      <c r="B36" s="27"/>
      <c r="C36" s="27"/>
      <c r="D36" s="13">
        <v>23073760</v>
      </c>
      <c r="E36" s="20">
        <v>989106</v>
      </c>
      <c r="F36" s="15">
        <v>98202</v>
      </c>
      <c r="G36" s="15">
        <v>4209</v>
      </c>
      <c r="H36" s="27"/>
      <c r="I36" s="27"/>
    </row>
    <row r="37" spans="1:9" x14ac:dyDescent="0.25">
      <c r="A37" s="4">
        <v>6</v>
      </c>
      <c r="B37" s="27"/>
      <c r="C37" s="27"/>
      <c r="D37" s="13">
        <v>22706848</v>
      </c>
      <c r="E37" s="20">
        <v>979323</v>
      </c>
      <c r="F37" s="15">
        <v>96640</v>
      </c>
      <c r="G37" s="15">
        <v>4167</v>
      </c>
      <c r="H37" s="27"/>
      <c r="I37" s="27"/>
    </row>
    <row r="38" spans="1:9" x14ac:dyDescent="0.25">
      <c r="A38" s="4">
        <v>7</v>
      </c>
      <c r="B38" s="27"/>
      <c r="C38" s="27"/>
      <c r="D38" s="13">
        <v>23031136</v>
      </c>
      <c r="E38" s="20">
        <v>985353</v>
      </c>
      <c r="F38" s="15">
        <v>98020</v>
      </c>
      <c r="G38" s="15">
        <v>4193</v>
      </c>
      <c r="H38" s="27"/>
      <c r="I38" s="27"/>
    </row>
    <row r="39" spans="1:9" x14ac:dyDescent="0.25">
      <c r="A39" s="4">
        <v>8</v>
      </c>
      <c r="B39" s="27"/>
      <c r="C39" s="24"/>
      <c r="D39" s="20">
        <v>22700064</v>
      </c>
      <c r="E39" s="20">
        <v>974363</v>
      </c>
      <c r="F39" s="15">
        <v>96611</v>
      </c>
      <c r="G39" s="15">
        <v>4146</v>
      </c>
      <c r="H39" s="27"/>
      <c r="I39" s="27"/>
    </row>
    <row r="40" spans="1:9" x14ac:dyDescent="0.25">
      <c r="A40" s="4">
        <v>9</v>
      </c>
      <c r="B40" s="27"/>
      <c r="C40" s="24"/>
      <c r="D40" s="20">
        <v>23070656</v>
      </c>
      <c r="E40" s="20">
        <v>991971</v>
      </c>
      <c r="F40" s="15">
        <v>98188</v>
      </c>
      <c r="G40" s="15">
        <v>4221</v>
      </c>
      <c r="H40" s="27"/>
      <c r="I40" s="27"/>
    </row>
    <row r="41" spans="1:9" x14ac:dyDescent="0.25">
      <c r="A41" s="8">
        <v>10</v>
      </c>
      <c r="B41" s="27"/>
      <c r="C41" s="25"/>
      <c r="D41" s="21">
        <v>22711904</v>
      </c>
      <c r="E41" s="21">
        <v>974711</v>
      </c>
      <c r="F41" s="17">
        <v>96661</v>
      </c>
      <c r="G41" s="17">
        <v>4148</v>
      </c>
      <c r="H41" s="28"/>
      <c r="I41" s="28"/>
    </row>
    <row r="42" spans="1:9" x14ac:dyDescent="0.25">
      <c r="A42" s="4">
        <v>1</v>
      </c>
      <c r="B42" s="27"/>
      <c r="C42" s="26">
        <v>1024</v>
      </c>
      <c r="D42" s="13">
        <v>12026752</v>
      </c>
      <c r="E42" s="12">
        <v>1000645</v>
      </c>
      <c r="F42" s="12">
        <v>100447</v>
      </c>
      <c r="G42" s="13">
        <v>8357</v>
      </c>
      <c r="H42" s="26">
        <f>AVERAGE(G42:G51)/1000</f>
        <v>8.2476000000000003</v>
      </c>
      <c r="I42" s="26">
        <f>AVERAGE(E42:E51)/B2</f>
        <v>987548.3</v>
      </c>
    </row>
    <row r="43" spans="1:9" x14ac:dyDescent="0.25">
      <c r="A43" s="4">
        <v>2</v>
      </c>
      <c r="B43" s="27"/>
      <c r="C43" s="27"/>
      <c r="D43" s="13">
        <v>11656608</v>
      </c>
      <c r="E43" s="15">
        <v>974237</v>
      </c>
      <c r="F43" s="15">
        <v>97355</v>
      </c>
      <c r="G43" s="13">
        <v>8136</v>
      </c>
      <c r="H43" s="27"/>
      <c r="I43" s="27"/>
    </row>
    <row r="44" spans="1:9" x14ac:dyDescent="0.25">
      <c r="A44" s="4">
        <v>3</v>
      </c>
      <c r="B44" s="27"/>
      <c r="C44" s="27"/>
      <c r="D44" s="13">
        <v>11720512</v>
      </c>
      <c r="E44" s="15">
        <v>974807</v>
      </c>
      <c r="F44" s="15">
        <v>97889</v>
      </c>
      <c r="G44" s="13">
        <v>8141</v>
      </c>
      <c r="H44" s="27"/>
      <c r="I44" s="27"/>
    </row>
    <row r="45" spans="1:9" x14ac:dyDescent="0.25">
      <c r="A45" s="4">
        <v>4</v>
      </c>
      <c r="B45" s="27"/>
      <c r="C45" s="27"/>
      <c r="D45" s="13">
        <v>11912608</v>
      </c>
      <c r="E45" s="15">
        <v>993604</v>
      </c>
      <c r="F45" s="15">
        <v>99494</v>
      </c>
      <c r="G45" s="13">
        <v>8298</v>
      </c>
      <c r="H45" s="27"/>
      <c r="I45" s="27"/>
    </row>
    <row r="46" spans="1:9" x14ac:dyDescent="0.25">
      <c r="A46" s="4">
        <v>5</v>
      </c>
      <c r="B46" s="27"/>
      <c r="C46" s="27"/>
      <c r="D46" s="13">
        <v>11820768</v>
      </c>
      <c r="E46" s="15">
        <v>982005</v>
      </c>
      <c r="F46" s="15">
        <v>98727</v>
      </c>
      <c r="G46" s="13">
        <v>8201</v>
      </c>
      <c r="H46" s="27"/>
      <c r="I46" s="27"/>
    </row>
    <row r="47" spans="1:9" x14ac:dyDescent="0.25">
      <c r="A47" s="4">
        <v>6</v>
      </c>
      <c r="B47" s="27"/>
      <c r="C47" s="27"/>
      <c r="D47" s="13">
        <v>11957984</v>
      </c>
      <c r="E47" s="15">
        <v>994735</v>
      </c>
      <c r="F47" s="15">
        <v>99873</v>
      </c>
      <c r="G47" s="13">
        <v>8308</v>
      </c>
      <c r="H47" s="27"/>
      <c r="I47" s="27"/>
    </row>
    <row r="48" spans="1:9" x14ac:dyDescent="0.25">
      <c r="A48" s="4">
        <v>7</v>
      </c>
      <c r="B48" s="27"/>
      <c r="C48" s="27"/>
      <c r="D48" s="13">
        <v>11752704</v>
      </c>
      <c r="E48" s="15">
        <v>976490</v>
      </c>
      <c r="F48" s="15">
        <v>98158</v>
      </c>
      <c r="G48" s="13">
        <v>8155</v>
      </c>
      <c r="H48" s="27"/>
      <c r="I48" s="27"/>
    </row>
    <row r="49" spans="1:9" x14ac:dyDescent="0.25">
      <c r="A49" s="4">
        <v>8</v>
      </c>
      <c r="B49" s="27"/>
      <c r="C49" s="24"/>
      <c r="D49" s="20">
        <v>12006848</v>
      </c>
      <c r="E49" s="15">
        <v>998332</v>
      </c>
      <c r="F49" s="15">
        <v>100281</v>
      </c>
      <c r="G49" s="13">
        <v>8338</v>
      </c>
      <c r="H49" s="27"/>
      <c r="I49" s="27"/>
    </row>
    <row r="50" spans="1:9" x14ac:dyDescent="0.25">
      <c r="A50" s="4">
        <v>9</v>
      </c>
      <c r="B50" s="27"/>
      <c r="C50" s="24"/>
      <c r="D50" s="20">
        <v>12006464</v>
      </c>
      <c r="E50" s="15">
        <v>999043</v>
      </c>
      <c r="F50" s="15">
        <v>100277</v>
      </c>
      <c r="G50" s="13">
        <v>8344</v>
      </c>
      <c r="H50" s="27"/>
      <c r="I50" s="27"/>
    </row>
    <row r="51" spans="1:9" x14ac:dyDescent="0.25">
      <c r="A51" s="8">
        <v>10</v>
      </c>
      <c r="B51" s="27"/>
      <c r="C51" s="25"/>
      <c r="D51" s="21">
        <v>11790240</v>
      </c>
      <c r="E51" s="17">
        <v>981585</v>
      </c>
      <c r="F51" s="17">
        <v>98472</v>
      </c>
      <c r="G51" s="13">
        <v>8198</v>
      </c>
      <c r="H51" s="28"/>
      <c r="I51" s="28"/>
    </row>
    <row r="52" spans="1:9" x14ac:dyDescent="0.25">
      <c r="A52" s="4">
        <v>1</v>
      </c>
      <c r="B52" s="27"/>
      <c r="C52" s="23">
        <v>1500</v>
      </c>
      <c r="D52" s="12">
        <v>8169856</v>
      </c>
      <c r="E52" s="19">
        <v>967583</v>
      </c>
      <c r="F52" s="12">
        <v>99345</v>
      </c>
      <c r="G52" s="12">
        <v>11765</v>
      </c>
      <c r="H52" s="26">
        <f>AVERAGE(G52:G61)/1000</f>
        <v>11.8781</v>
      </c>
      <c r="I52" s="26">
        <f>AVERAGE(E52:E61)/B2</f>
        <v>976855.2</v>
      </c>
    </row>
    <row r="53" spans="1:9" x14ac:dyDescent="0.25">
      <c r="A53" s="4">
        <v>2</v>
      </c>
      <c r="B53" s="27"/>
      <c r="C53" s="24"/>
      <c r="D53" s="15">
        <v>8266176</v>
      </c>
      <c r="E53" s="20">
        <v>981981</v>
      </c>
      <c r="F53" s="15">
        <v>100516</v>
      </c>
      <c r="G53" s="15">
        <v>11940</v>
      </c>
      <c r="H53" s="27"/>
      <c r="I53" s="27"/>
    </row>
    <row r="54" spans="1:9" x14ac:dyDescent="0.25">
      <c r="A54" s="4">
        <v>3</v>
      </c>
      <c r="B54" s="27"/>
      <c r="C54" s="24"/>
      <c r="D54" s="15">
        <v>8069472</v>
      </c>
      <c r="E54" s="20">
        <v>958878</v>
      </c>
      <c r="F54" s="15">
        <v>98124</v>
      </c>
      <c r="G54" s="15">
        <v>11659</v>
      </c>
      <c r="H54" s="27"/>
      <c r="I54" s="27"/>
    </row>
    <row r="55" spans="1:9" x14ac:dyDescent="0.25">
      <c r="A55" s="4">
        <v>4</v>
      </c>
      <c r="B55" s="27"/>
      <c r="C55" s="24"/>
      <c r="D55" s="15">
        <v>8168512</v>
      </c>
      <c r="E55" s="20">
        <v>973934</v>
      </c>
      <c r="F55" s="15">
        <v>99329</v>
      </c>
      <c r="G55" s="15">
        <v>11843</v>
      </c>
      <c r="H55" s="27"/>
      <c r="I55" s="27"/>
    </row>
    <row r="56" spans="1:9" x14ac:dyDescent="0.25">
      <c r="A56" s="4">
        <v>5</v>
      </c>
      <c r="B56" s="27"/>
      <c r="C56" s="24"/>
      <c r="D56" s="15">
        <v>8169344</v>
      </c>
      <c r="E56" s="20">
        <v>974510</v>
      </c>
      <c r="F56" s="15">
        <v>99339</v>
      </c>
      <c r="G56" s="15">
        <v>11850</v>
      </c>
      <c r="H56" s="27"/>
      <c r="I56" s="27"/>
    </row>
    <row r="57" spans="1:9" x14ac:dyDescent="0.25">
      <c r="A57" s="4">
        <v>6</v>
      </c>
      <c r="B57" s="27"/>
      <c r="C57" s="24"/>
      <c r="D57" s="15">
        <v>8299296</v>
      </c>
      <c r="E57" s="20">
        <v>993189</v>
      </c>
      <c r="F57" s="15">
        <v>100919</v>
      </c>
      <c r="G57" s="15">
        <v>12077</v>
      </c>
      <c r="H57" s="27"/>
      <c r="I57" s="27"/>
    </row>
    <row r="58" spans="1:9" x14ac:dyDescent="0.25">
      <c r="A58" s="4">
        <v>7</v>
      </c>
      <c r="B58" s="27"/>
      <c r="C58" s="24"/>
      <c r="D58" s="15">
        <v>8039328</v>
      </c>
      <c r="E58" s="20">
        <v>961847</v>
      </c>
      <c r="F58" s="15">
        <v>97758</v>
      </c>
      <c r="G58" s="15">
        <v>11696</v>
      </c>
      <c r="H58" s="27"/>
      <c r="I58" s="27"/>
    </row>
    <row r="59" spans="1:9" x14ac:dyDescent="0.25">
      <c r="A59" s="4">
        <v>8</v>
      </c>
      <c r="B59" s="27"/>
      <c r="C59" s="24"/>
      <c r="D59" s="15">
        <v>8168640</v>
      </c>
      <c r="E59" s="20">
        <v>978789</v>
      </c>
      <c r="F59" s="15">
        <v>99330</v>
      </c>
      <c r="G59" s="15">
        <v>11902</v>
      </c>
      <c r="H59" s="27"/>
      <c r="I59" s="27"/>
    </row>
    <row r="60" spans="1:9" x14ac:dyDescent="0.25">
      <c r="A60" s="4">
        <v>9</v>
      </c>
      <c r="B60" s="27"/>
      <c r="C60" s="24"/>
      <c r="D60" s="15">
        <v>8299936</v>
      </c>
      <c r="E60" s="20">
        <v>996440</v>
      </c>
      <c r="F60" s="15">
        <v>100927</v>
      </c>
      <c r="G60" s="15">
        <v>12116</v>
      </c>
      <c r="H60" s="27"/>
      <c r="I60" s="27"/>
    </row>
    <row r="61" spans="1:9" x14ac:dyDescent="0.25">
      <c r="A61" s="8">
        <v>10</v>
      </c>
      <c r="B61" s="28"/>
      <c r="C61" s="25"/>
      <c r="D61" s="17">
        <v>8166464</v>
      </c>
      <c r="E61" s="21">
        <v>981401</v>
      </c>
      <c r="F61" s="17">
        <v>99304</v>
      </c>
      <c r="G61" s="17">
        <v>11933</v>
      </c>
      <c r="H61" s="28"/>
      <c r="I61" s="28"/>
    </row>
  </sheetData>
  <mergeCells count="19">
    <mergeCell ref="B2:B61"/>
    <mergeCell ref="C2:C11"/>
    <mergeCell ref="H2:H11"/>
    <mergeCell ref="I2:I11"/>
    <mergeCell ref="C12:C21"/>
    <mergeCell ref="H12:H21"/>
    <mergeCell ref="I12:I21"/>
    <mergeCell ref="C22:C31"/>
    <mergeCell ref="H22:H31"/>
    <mergeCell ref="I22:I31"/>
    <mergeCell ref="C52:C61"/>
    <mergeCell ref="H52:H61"/>
    <mergeCell ref="I52:I61"/>
    <mergeCell ref="C32:C41"/>
    <mergeCell ref="H32:H41"/>
    <mergeCell ref="I32:I41"/>
    <mergeCell ref="C42:C51"/>
    <mergeCell ref="H42:H51"/>
    <mergeCell ref="I42:I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GSPN, Amith</dc:creator>
  <cp:lastModifiedBy>GSPN, Amith</cp:lastModifiedBy>
  <dcterms:created xsi:type="dcterms:W3CDTF">2026-02-12T15:44:34Z</dcterms:created>
  <dcterms:modified xsi:type="dcterms:W3CDTF">2026-02-12T18:30:35Z</dcterms:modified>
</cp:coreProperties>
</file>