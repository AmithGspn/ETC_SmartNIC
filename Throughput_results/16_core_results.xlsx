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aper 2\Throughput_results\"/>
    </mc:Choice>
  </mc:AlternateContent>
  <xr:revisionPtr revIDLastSave="0" documentId="13_ncr:1_{88933E4F-E406-42B0-B918-E4E9B447DDE7}" xr6:coauthVersionLast="47" xr6:coauthVersionMax="47" xr10:uidLastSave="{00000000-0000-0000-0000-000000000000}"/>
  <bookViews>
    <workbookView xWindow="25695" yWindow="0" windowWidth="26010" windowHeight="21705" xr2:uid="{A222E67D-AB1D-4CC2-8067-442006671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42" i="1"/>
  <c r="H32" i="1"/>
  <c r="H22" i="1"/>
  <c r="H12" i="1"/>
  <c r="H2" i="1"/>
  <c r="I52" i="1"/>
  <c r="I42" i="1"/>
  <c r="I32" i="1"/>
  <c r="I22" i="1"/>
  <c r="I12" i="1"/>
  <c r="I2" i="1"/>
</calcChain>
</file>

<file path=xl/sharedStrings.xml><?xml version="1.0" encoding="utf-8"?>
<sst xmlns="http://schemas.openxmlformats.org/spreadsheetml/2006/main" count="9" uniqueCount="9">
  <si>
    <t>Sec</t>
  </si>
  <si>
    <t>Core Count</t>
  </si>
  <si>
    <t>Packet Size (Bytes)</t>
  </si>
  <si>
    <t>TX pps</t>
  </si>
  <si>
    <t>RX pps</t>
  </si>
  <si>
    <t>TX Mbps</t>
  </si>
  <si>
    <t>RX Mbps</t>
  </si>
  <si>
    <t>RX Gbps (Calculated)</t>
  </si>
  <si>
    <t>pps /core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</si>
</sst>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1E6E-BE57-4EEB-8F05-6D1977056E45}">
  <dimension ref="A1:I61"/>
  <sheetViews>
    <sheetView tabSelected="1" topLeftCell="A19" zoomScale="115" zoomScaleNormal="115" workbookViewId="0">
      <selection activeCell="K45" sqref="K45"/>
    </sheetView>
  </sheetViews>
  <sheetFormatPr defaultRowHeight="15" x14ac:dyDescent="0.25"/>
  <cols>
    <col min="2" max="2" width="16.85546875" customWidth="1"/>
    <col min="3" max="3" width="20.5703125" customWidth="1"/>
    <col min="4" max="4" width="16.42578125" customWidth="1"/>
    <col min="5" max="5" width="14" customWidth="1"/>
    <col min="6" max="6" width="13.5703125" customWidth="1"/>
    <col min="7" max="7" width="14.5703125" customWidth="1"/>
    <col min="8" max="8" width="24.85546875" customWidth="1"/>
    <col min="9" max="9" width="2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</row>
    <row r="2" spans="1:9" x14ac:dyDescent="0.25">
      <c r="A2" s="4">
        <v>1</v>
      </c>
      <c r="B2" s="12">
        <v>16</v>
      </c>
      <c r="C2" s="12">
        <v>64</v>
      </c>
      <c r="D2" s="5">
        <v>40180000</v>
      </c>
      <c r="E2" s="6">
        <v>19210000</v>
      </c>
      <c r="F2" s="6">
        <v>35889</v>
      </c>
      <c r="G2" s="4">
        <v>17809</v>
      </c>
      <c r="H2" s="12">
        <f>AVERAGE(G2:G11)/1000</f>
        <v>17.869400000000002</v>
      </c>
      <c r="I2" s="12">
        <f>AVERAGE(D2:D11)/B2</f>
        <v>2531625</v>
      </c>
    </row>
    <row r="3" spans="1:9" x14ac:dyDescent="0.25">
      <c r="A3" s="4">
        <v>2</v>
      </c>
      <c r="B3" s="13"/>
      <c r="C3" s="13"/>
      <c r="D3" s="5">
        <v>40250000</v>
      </c>
      <c r="E3" s="6">
        <v>19230000</v>
      </c>
      <c r="F3" s="6">
        <v>35936</v>
      </c>
      <c r="G3" s="4">
        <v>17923</v>
      </c>
      <c r="H3" s="13"/>
      <c r="I3" s="13"/>
    </row>
    <row r="4" spans="1:9" x14ac:dyDescent="0.25">
      <c r="A4" s="4">
        <v>3</v>
      </c>
      <c r="B4" s="13"/>
      <c r="C4" s="13"/>
      <c r="D4" s="5">
        <v>40140000</v>
      </c>
      <c r="E4" s="6">
        <v>19160000</v>
      </c>
      <c r="F4" s="6">
        <v>35861</v>
      </c>
      <c r="G4" s="4">
        <v>17845</v>
      </c>
      <c r="H4" s="13"/>
      <c r="I4" s="13"/>
    </row>
    <row r="5" spans="1:9" x14ac:dyDescent="0.25">
      <c r="A5" s="4">
        <v>4</v>
      </c>
      <c r="B5" s="13"/>
      <c r="C5" s="13"/>
      <c r="D5" s="5">
        <v>40300000</v>
      </c>
      <c r="E5" s="6">
        <v>19280000</v>
      </c>
      <c r="F5" s="6">
        <v>35968</v>
      </c>
      <c r="G5" s="4">
        <v>17954</v>
      </c>
      <c r="H5" s="13"/>
      <c r="I5" s="13"/>
    </row>
    <row r="6" spans="1:9" x14ac:dyDescent="0.25">
      <c r="A6" s="4">
        <v>5</v>
      </c>
      <c r="B6" s="13"/>
      <c r="C6" s="13"/>
      <c r="D6" s="5">
        <v>40170000</v>
      </c>
      <c r="E6" s="6">
        <v>19200000</v>
      </c>
      <c r="F6" s="6">
        <v>35881</v>
      </c>
      <c r="G6" s="4">
        <v>17700</v>
      </c>
      <c r="H6" s="13"/>
      <c r="I6" s="13"/>
    </row>
    <row r="7" spans="1:9" x14ac:dyDescent="0.25">
      <c r="A7" s="4">
        <v>6</v>
      </c>
      <c r="B7" s="13"/>
      <c r="C7" s="13"/>
      <c r="D7" s="5">
        <v>40220000</v>
      </c>
      <c r="E7" s="6">
        <v>19210000</v>
      </c>
      <c r="F7" s="6">
        <v>35915</v>
      </c>
      <c r="G7" s="4">
        <v>17909</v>
      </c>
      <c r="H7" s="13"/>
      <c r="I7" s="13"/>
    </row>
    <row r="8" spans="1:9" x14ac:dyDescent="0.25">
      <c r="A8" s="4">
        <v>7</v>
      </c>
      <c r="B8" s="13"/>
      <c r="C8" s="13"/>
      <c r="D8" s="5">
        <v>41260000</v>
      </c>
      <c r="E8" s="6">
        <v>19240000</v>
      </c>
      <c r="F8" s="6">
        <v>35941</v>
      </c>
      <c r="G8" s="4">
        <v>17929</v>
      </c>
      <c r="H8" s="13"/>
      <c r="I8" s="13"/>
    </row>
    <row r="9" spans="1:9" x14ac:dyDescent="0.25">
      <c r="A9" s="4">
        <v>8</v>
      </c>
      <c r="B9" s="13"/>
      <c r="C9" s="15"/>
      <c r="D9" s="7">
        <v>41150000</v>
      </c>
      <c r="E9" s="5">
        <v>19170000</v>
      </c>
      <c r="F9" s="6">
        <v>35868</v>
      </c>
      <c r="G9" s="4">
        <v>17852</v>
      </c>
      <c r="H9" s="13"/>
      <c r="I9" s="13"/>
    </row>
    <row r="10" spans="1:9" x14ac:dyDescent="0.25">
      <c r="A10" s="4">
        <v>9</v>
      </c>
      <c r="B10" s="13"/>
      <c r="C10" s="15"/>
      <c r="D10" s="7">
        <v>41210000</v>
      </c>
      <c r="E10" s="5">
        <v>19200000</v>
      </c>
      <c r="F10" s="6">
        <v>35908</v>
      </c>
      <c r="G10" s="4">
        <v>17900</v>
      </c>
      <c r="H10" s="13"/>
      <c r="I10" s="13"/>
    </row>
    <row r="11" spans="1:9" x14ac:dyDescent="0.25">
      <c r="A11" s="8">
        <v>10</v>
      </c>
      <c r="B11" s="13"/>
      <c r="C11" s="16"/>
      <c r="D11" s="9">
        <v>40180000</v>
      </c>
      <c r="E11" s="10">
        <v>19190000</v>
      </c>
      <c r="F11" s="11">
        <v>35889</v>
      </c>
      <c r="G11" s="8">
        <v>17873</v>
      </c>
      <c r="H11" s="14"/>
      <c r="I11" s="14"/>
    </row>
    <row r="12" spans="1:9" x14ac:dyDescent="0.25">
      <c r="A12" s="4">
        <v>1</v>
      </c>
      <c r="B12" s="13"/>
      <c r="C12" s="12">
        <v>128</v>
      </c>
      <c r="D12" s="5">
        <v>40720000</v>
      </c>
      <c r="E12" s="6">
        <v>18760000</v>
      </c>
      <c r="F12" s="6">
        <v>63164</v>
      </c>
      <c r="G12" s="4">
        <v>26212</v>
      </c>
      <c r="H12" s="12">
        <f>AVERAGE(G12:G21)/1000</f>
        <v>26.220599999999997</v>
      </c>
      <c r="I12" s="12">
        <f>AVERAGE(D12:D21)/B2</f>
        <v>2591562.5</v>
      </c>
    </row>
    <row r="13" spans="1:9" x14ac:dyDescent="0.25">
      <c r="A13" s="4">
        <v>2</v>
      </c>
      <c r="B13" s="13"/>
      <c r="C13" s="13"/>
      <c r="D13" s="5">
        <v>41810000</v>
      </c>
      <c r="E13" s="6">
        <v>18790000</v>
      </c>
      <c r="F13" s="6">
        <v>63270</v>
      </c>
      <c r="G13" s="4">
        <v>26246</v>
      </c>
      <c r="H13" s="13"/>
      <c r="I13" s="13"/>
    </row>
    <row r="14" spans="1:9" x14ac:dyDescent="0.25">
      <c r="A14" s="4">
        <v>3</v>
      </c>
      <c r="B14" s="13"/>
      <c r="C14" s="13"/>
      <c r="D14" s="5">
        <v>41700000</v>
      </c>
      <c r="E14" s="6">
        <v>18720000</v>
      </c>
      <c r="F14" s="6">
        <v>63140</v>
      </c>
      <c r="G14" s="4">
        <v>26164</v>
      </c>
      <c r="H14" s="13"/>
      <c r="I14" s="13"/>
    </row>
    <row r="15" spans="1:9" x14ac:dyDescent="0.25">
      <c r="A15" s="4">
        <v>4</v>
      </c>
      <c r="B15" s="13"/>
      <c r="C15" s="13"/>
      <c r="D15" s="5">
        <v>40830000</v>
      </c>
      <c r="E15" s="6">
        <v>18820000</v>
      </c>
      <c r="F15" s="6">
        <v>63293</v>
      </c>
      <c r="G15" s="4">
        <v>26281</v>
      </c>
      <c r="H15" s="13"/>
      <c r="I15" s="13"/>
    </row>
    <row r="16" spans="1:9" x14ac:dyDescent="0.25">
      <c r="A16" s="4">
        <v>5</v>
      </c>
      <c r="B16" s="13"/>
      <c r="C16" s="13"/>
      <c r="D16" s="5">
        <v>40750000</v>
      </c>
      <c r="E16" s="6">
        <v>18760000</v>
      </c>
      <c r="F16" s="6">
        <v>63200</v>
      </c>
      <c r="G16" s="4">
        <v>26212</v>
      </c>
      <c r="H16" s="13"/>
      <c r="I16" s="13"/>
    </row>
    <row r="17" spans="1:9" x14ac:dyDescent="0.25">
      <c r="A17" s="4">
        <v>6</v>
      </c>
      <c r="B17" s="13"/>
      <c r="C17" s="13"/>
      <c r="D17" s="5">
        <v>41790000</v>
      </c>
      <c r="E17" s="6">
        <v>18780000</v>
      </c>
      <c r="F17" s="6">
        <v>63246</v>
      </c>
      <c r="G17" s="4">
        <v>26234</v>
      </c>
      <c r="H17" s="13"/>
      <c r="I17" s="13"/>
    </row>
    <row r="18" spans="1:9" x14ac:dyDescent="0.25">
      <c r="A18" s="4">
        <v>7</v>
      </c>
      <c r="B18" s="13"/>
      <c r="C18" s="13"/>
      <c r="D18" s="5">
        <v>41770000</v>
      </c>
      <c r="E18" s="6">
        <v>18750000</v>
      </c>
      <c r="F18" s="6">
        <v>63223</v>
      </c>
      <c r="G18" s="4">
        <v>26200</v>
      </c>
      <c r="H18" s="13"/>
      <c r="I18" s="13"/>
    </row>
    <row r="19" spans="1:9" x14ac:dyDescent="0.25">
      <c r="A19" s="4">
        <v>8</v>
      </c>
      <c r="B19" s="13"/>
      <c r="C19" s="15"/>
      <c r="D19" s="7">
        <v>41720000</v>
      </c>
      <c r="E19" s="5">
        <v>18740000</v>
      </c>
      <c r="F19" s="6">
        <v>63164</v>
      </c>
      <c r="G19" s="4">
        <v>26188</v>
      </c>
      <c r="H19" s="13"/>
      <c r="I19" s="13"/>
    </row>
    <row r="20" spans="1:9" x14ac:dyDescent="0.25">
      <c r="A20" s="4">
        <v>9</v>
      </c>
      <c r="B20" s="13"/>
      <c r="C20" s="15"/>
      <c r="D20" s="7">
        <v>40800000</v>
      </c>
      <c r="E20" s="5">
        <v>18790000</v>
      </c>
      <c r="F20" s="6">
        <v>63258</v>
      </c>
      <c r="G20" s="4">
        <v>26246</v>
      </c>
      <c r="H20" s="13"/>
      <c r="I20" s="13"/>
    </row>
    <row r="21" spans="1:9" x14ac:dyDescent="0.25">
      <c r="A21" s="8">
        <v>10</v>
      </c>
      <c r="B21" s="13"/>
      <c r="C21" s="16"/>
      <c r="D21" s="9">
        <v>42760000</v>
      </c>
      <c r="E21" s="10">
        <v>18770000</v>
      </c>
      <c r="F21" s="11">
        <v>63212</v>
      </c>
      <c r="G21" s="8">
        <v>26223</v>
      </c>
      <c r="H21" s="14"/>
      <c r="I21" s="14"/>
    </row>
    <row r="22" spans="1:9" x14ac:dyDescent="0.25">
      <c r="A22" s="4">
        <v>1</v>
      </c>
      <c r="B22" s="13"/>
      <c r="C22" s="12">
        <v>256</v>
      </c>
      <c r="D22" s="5">
        <v>33840000</v>
      </c>
      <c r="E22" s="6">
        <v>18900000</v>
      </c>
      <c r="F22" s="6">
        <v>79640</v>
      </c>
      <c r="G22" s="4">
        <v>41773</v>
      </c>
      <c r="H22" s="12">
        <f>AVERAGE(G22:G31)/1000</f>
        <v>41.746499999999997</v>
      </c>
      <c r="I22" s="12">
        <f>AVERAGE(D22:D31)/B2</f>
        <v>2186375</v>
      </c>
    </row>
    <row r="23" spans="1:9" x14ac:dyDescent="0.25">
      <c r="A23" s="4">
        <v>2</v>
      </c>
      <c r="B23" s="13"/>
      <c r="C23" s="13"/>
      <c r="D23" s="5">
        <v>34900000</v>
      </c>
      <c r="E23" s="6">
        <v>18870000</v>
      </c>
      <c r="F23" s="6">
        <v>79773</v>
      </c>
      <c r="G23" s="4">
        <v>41706</v>
      </c>
      <c r="H23" s="13"/>
      <c r="I23" s="13"/>
    </row>
    <row r="24" spans="1:9" x14ac:dyDescent="0.25">
      <c r="A24" s="4">
        <v>3</v>
      </c>
      <c r="B24" s="13"/>
      <c r="C24" s="13"/>
      <c r="D24" s="5">
        <v>34860000</v>
      </c>
      <c r="E24" s="6">
        <v>18880000</v>
      </c>
      <c r="F24" s="6">
        <v>79686</v>
      </c>
      <c r="G24" s="4">
        <v>41730</v>
      </c>
      <c r="H24" s="13"/>
      <c r="I24" s="13"/>
    </row>
    <row r="25" spans="1:9" x14ac:dyDescent="0.25">
      <c r="A25" s="4">
        <v>4</v>
      </c>
      <c r="B25" s="13"/>
      <c r="C25" s="13"/>
      <c r="D25" s="5">
        <v>33920000</v>
      </c>
      <c r="E25" s="6">
        <v>18910000</v>
      </c>
      <c r="F25" s="6">
        <v>79816</v>
      </c>
      <c r="G25" s="4">
        <v>41794</v>
      </c>
      <c r="H25" s="13"/>
      <c r="I25" s="13"/>
    </row>
    <row r="26" spans="1:9" x14ac:dyDescent="0.25">
      <c r="A26" s="4">
        <v>5</v>
      </c>
      <c r="B26" s="13"/>
      <c r="C26" s="13"/>
      <c r="D26" s="5">
        <v>34850000</v>
      </c>
      <c r="E26" s="6">
        <v>18870000</v>
      </c>
      <c r="F26" s="6">
        <v>79662</v>
      </c>
      <c r="G26" s="4">
        <v>41706</v>
      </c>
      <c r="H26" s="13"/>
      <c r="I26" s="13"/>
    </row>
    <row r="27" spans="1:9" x14ac:dyDescent="0.25">
      <c r="A27" s="4">
        <v>6</v>
      </c>
      <c r="B27" s="13"/>
      <c r="C27" s="13"/>
      <c r="D27" s="5">
        <v>35890000</v>
      </c>
      <c r="E27" s="6">
        <v>18900000</v>
      </c>
      <c r="F27" s="6">
        <v>79751</v>
      </c>
      <c r="G27" s="4">
        <v>41773</v>
      </c>
      <c r="H27" s="13"/>
      <c r="I27" s="13"/>
    </row>
    <row r="28" spans="1:9" x14ac:dyDescent="0.25">
      <c r="A28" s="4">
        <v>7</v>
      </c>
      <c r="B28" s="13"/>
      <c r="C28" s="13"/>
      <c r="D28" s="5">
        <v>35870000</v>
      </c>
      <c r="E28" s="6">
        <v>18880000</v>
      </c>
      <c r="F28" s="6">
        <v>79706</v>
      </c>
      <c r="G28" s="4">
        <v>41730</v>
      </c>
      <c r="H28" s="13"/>
      <c r="I28" s="13"/>
    </row>
    <row r="29" spans="1:9" x14ac:dyDescent="0.25">
      <c r="A29" s="4">
        <v>8</v>
      </c>
      <c r="B29" s="13"/>
      <c r="C29" s="15"/>
      <c r="D29" s="7">
        <v>35910000</v>
      </c>
      <c r="E29" s="5">
        <v>18920000</v>
      </c>
      <c r="F29" s="6">
        <v>80794</v>
      </c>
      <c r="G29" s="4">
        <v>41816</v>
      </c>
      <c r="H29" s="13"/>
      <c r="I29" s="13"/>
    </row>
    <row r="30" spans="1:9" x14ac:dyDescent="0.25">
      <c r="A30" s="4">
        <v>9</v>
      </c>
      <c r="B30" s="13"/>
      <c r="C30" s="15"/>
      <c r="D30" s="7">
        <v>34880000</v>
      </c>
      <c r="E30" s="5">
        <v>18860000</v>
      </c>
      <c r="F30" s="6">
        <v>79730</v>
      </c>
      <c r="G30" s="4">
        <v>41686</v>
      </c>
      <c r="H30" s="13"/>
      <c r="I30" s="13"/>
    </row>
    <row r="31" spans="1:9" x14ac:dyDescent="0.25">
      <c r="A31" s="8">
        <v>10</v>
      </c>
      <c r="B31" s="13"/>
      <c r="C31" s="16"/>
      <c r="D31" s="9">
        <v>34900000</v>
      </c>
      <c r="E31" s="10">
        <v>18890000</v>
      </c>
      <c r="F31" s="11">
        <v>79773</v>
      </c>
      <c r="G31" s="8">
        <v>41751</v>
      </c>
      <c r="H31" s="14"/>
      <c r="I31" s="14"/>
    </row>
    <row r="32" spans="1:9" x14ac:dyDescent="0.25">
      <c r="A32" s="4">
        <v>1</v>
      </c>
      <c r="B32" s="13"/>
      <c r="C32" s="12">
        <v>512</v>
      </c>
      <c r="D32" s="5">
        <v>20300000</v>
      </c>
      <c r="E32" s="6">
        <v>20360000</v>
      </c>
      <c r="F32" s="6">
        <v>94392</v>
      </c>
      <c r="G32" s="4">
        <v>86648</v>
      </c>
      <c r="H32" s="12">
        <f>AVERAGE(G32:G41)/1000</f>
        <v>86.7256</v>
      </c>
      <c r="I32" s="12">
        <f>AVERAGE(D32:D41)/B2</f>
        <v>1279437.5</v>
      </c>
    </row>
    <row r="33" spans="1:9" x14ac:dyDescent="0.25">
      <c r="A33" s="4">
        <v>2</v>
      </c>
      <c r="B33" s="13"/>
      <c r="C33" s="13"/>
      <c r="D33" s="5">
        <v>21380000</v>
      </c>
      <c r="E33" s="6">
        <v>20400000</v>
      </c>
      <c r="F33" s="6">
        <v>94734</v>
      </c>
      <c r="G33" s="4">
        <v>86819</v>
      </c>
      <c r="H33" s="13"/>
      <c r="I33" s="13"/>
    </row>
    <row r="34" spans="1:9" x14ac:dyDescent="0.25">
      <c r="A34" s="4">
        <v>3</v>
      </c>
      <c r="B34" s="13"/>
      <c r="C34" s="13"/>
      <c r="D34" s="5">
        <v>20350000</v>
      </c>
      <c r="E34" s="6">
        <v>20370000</v>
      </c>
      <c r="F34" s="6">
        <v>94607</v>
      </c>
      <c r="G34" s="4">
        <v>86692</v>
      </c>
      <c r="H34" s="13"/>
      <c r="I34" s="13"/>
    </row>
    <row r="35" spans="1:9" x14ac:dyDescent="0.25">
      <c r="A35" s="4">
        <v>4</v>
      </c>
      <c r="B35" s="13"/>
      <c r="C35" s="13"/>
      <c r="D35" s="5">
        <v>20410000</v>
      </c>
      <c r="E35" s="6">
        <v>20390000</v>
      </c>
      <c r="F35" s="6">
        <v>94862</v>
      </c>
      <c r="G35" s="4">
        <v>86777</v>
      </c>
      <c r="H35" s="13"/>
      <c r="I35" s="13"/>
    </row>
    <row r="36" spans="1:9" x14ac:dyDescent="0.25">
      <c r="A36" s="4">
        <v>5</v>
      </c>
      <c r="B36" s="13"/>
      <c r="C36" s="13"/>
      <c r="D36" s="5">
        <v>20360000</v>
      </c>
      <c r="E36" s="6">
        <v>20380000</v>
      </c>
      <c r="F36" s="6">
        <v>94648</v>
      </c>
      <c r="G36" s="4">
        <v>86734</v>
      </c>
      <c r="H36" s="13"/>
      <c r="I36" s="13"/>
    </row>
    <row r="37" spans="1:9" x14ac:dyDescent="0.25">
      <c r="A37" s="4">
        <v>6</v>
      </c>
      <c r="B37" s="13"/>
      <c r="C37" s="13"/>
      <c r="D37" s="5">
        <v>20390000</v>
      </c>
      <c r="E37" s="6">
        <v>20370000</v>
      </c>
      <c r="F37" s="6">
        <v>94777</v>
      </c>
      <c r="G37" s="4">
        <v>86692</v>
      </c>
      <c r="H37" s="13"/>
      <c r="I37" s="13"/>
    </row>
    <row r="38" spans="1:9" x14ac:dyDescent="0.25">
      <c r="A38" s="4">
        <v>7</v>
      </c>
      <c r="B38" s="13"/>
      <c r="C38" s="13"/>
      <c r="D38" s="5">
        <v>20420000</v>
      </c>
      <c r="E38" s="6">
        <v>20410000</v>
      </c>
      <c r="F38" s="6">
        <v>94905</v>
      </c>
      <c r="G38" s="4">
        <v>86862</v>
      </c>
      <c r="H38" s="13"/>
      <c r="I38" s="13"/>
    </row>
    <row r="39" spans="1:9" x14ac:dyDescent="0.25">
      <c r="A39" s="4">
        <v>8</v>
      </c>
      <c r="B39" s="13"/>
      <c r="C39" s="15"/>
      <c r="D39" s="7">
        <v>20330000</v>
      </c>
      <c r="E39" s="5">
        <v>20350000</v>
      </c>
      <c r="F39" s="6">
        <v>94521</v>
      </c>
      <c r="G39" s="4">
        <v>86607</v>
      </c>
      <c r="H39" s="13"/>
      <c r="I39" s="13"/>
    </row>
    <row r="40" spans="1:9" x14ac:dyDescent="0.25">
      <c r="A40" s="4">
        <v>9</v>
      </c>
      <c r="B40" s="13"/>
      <c r="C40" s="15"/>
      <c r="D40" s="7">
        <v>20370000</v>
      </c>
      <c r="E40" s="5">
        <v>20360000</v>
      </c>
      <c r="F40" s="6">
        <v>94692</v>
      </c>
      <c r="G40" s="4">
        <v>86648</v>
      </c>
      <c r="H40" s="13"/>
      <c r="I40" s="13"/>
    </row>
    <row r="41" spans="1:9" x14ac:dyDescent="0.25">
      <c r="A41" s="8">
        <v>10</v>
      </c>
      <c r="B41" s="13"/>
      <c r="C41" s="16"/>
      <c r="D41" s="9">
        <v>20400000</v>
      </c>
      <c r="E41" s="10">
        <v>20390000</v>
      </c>
      <c r="F41" s="11">
        <v>94819</v>
      </c>
      <c r="G41" s="8">
        <v>86777</v>
      </c>
      <c r="H41" s="14"/>
      <c r="I41" s="14"/>
    </row>
    <row r="42" spans="1:9" x14ac:dyDescent="0.25">
      <c r="A42" s="4">
        <v>1</v>
      </c>
      <c r="B42" s="13"/>
      <c r="C42" s="12">
        <v>1024</v>
      </c>
      <c r="D42" s="5">
        <v>11880000</v>
      </c>
      <c r="E42" s="6">
        <v>11910000</v>
      </c>
      <c r="F42" s="6">
        <v>99207</v>
      </c>
      <c r="G42" s="4">
        <v>99460</v>
      </c>
      <c r="H42" s="12">
        <f>AVERAGE(G42:G51)/1000</f>
        <v>99.424399999999991</v>
      </c>
      <c r="I42" s="12">
        <f>AVERAGE(D42:D51)/B2</f>
        <v>743875</v>
      </c>
    </row>
    <row r="43" spans="1:9" x14ac:dyDescent="0.25">
      <c r="A43" s="4">
        <v>2</v>
      </c>
      <c r="B43" s="13"/>
      <c r="C43" s="13"/>
      <c r="D43" s="5">
        <v>11920000</v>
      </c>
      <c r="E43" s="6">
        <v>11900000</v>
      </c>
      <c r="F43" s="6">
        <v>99540</v>
      </c>
      <c r="G43" s="4">
        <v>99374</v>
      </c>
      <c r="H43" s="13"/>
      <c r="I43" s="13"/>
    </row>
    <row r="44" spans="1:9" x14ac:dyDescent="0.25">
      <c r="A44" s="4">
        <v>3</v>
      </c>
      <c r="B44" s="13"/>
      <c r="C44" s="13"/>
      <c r="D44" s="5">
        <v>11890000</v>
      </c>
      <c r="E44" s="6">
        <v>11905000</v>
      </c>
      <c r="F44" s="6">
        <v>99290</v>
      </c>
      <c r="G44" s="4">
        <v>99417</v>
      </c>
      <c r="H44" s="13"/>
      <c r="I44" s="13"/>
    </row>
    <row r="45" spans="1:9" x14ac:dyDescent="0.25">
      <c r="A45" s="4">
        <v>4</v>
      </c>
      <c r="B45" s="13"/>
      <c r="C45" s="13"/>
      <c r="D45" s="5">
        <v>11910000</v>
      </c>
      <c r="E45" s="6">
        <v>11920000</v>
      </c>
      <c r="F45" s="6">
        <v>99460</v>
      </c>
      <c r="G45" s="4">
        <v>99540</v>
      </c>
      <c r="H45" s="13"/>
      <c r="I45" s="13"/>
    </row>
    <row r="46" spans="1:9" x14ac:dyDescent="0.25">
      <c r="A46" s="4">
        <v>5</v>
      </c>
      <c r="B46" s="13"/>
      <c r="C46" s="13"/>
      <c r="D46" s="5">
        <v>11900000</v>
      </c>
      <c r="E46" s="6">
        <v>11890000</v>
      </c>
      <c r="F46" s="6">
        <v>99374</v>
      </c>
      <c r="G46" s="4">
        <v>99290</v>
      </c>
      <c r="H46" s="13"/>
      <c r="I46" s="13"/>
    </row>
    <row r="47" spans="1:9" x14ac:dyDescent="0.25">
      <c r="A47" s="4">
        <v>6</v>
      </c>
      <c r="B47" s="13"/>
      <c r="C47" s="13"/>
      <c r="D47" s="5">
        <v>11930000</v>
      </c>
      <c r="E47" s="6">
        <v>11915000</v>
      </c>
      <c r="F47" s="6">
        <v>99623</v>
      </c>
      <c r="G47" s="4">
        <v>99500</v>
      </c>
      <c r="H47" s="13"/>
      <c r="I47" s="13"/>
    </row>
    <row r="48" spans="1:9" x14ac:dyDescent="0.25">
      <c r="A48" s="4">
        <v>7</v>
      </c>
      <c r="B48" s="13"/>
      <c r="C48" s="13"/>
      <c r="D48" s="5">
        <v>11880000</v>
      </c>
      <c r="E48" s="6">
        <v>11900000</v>
      </c>
      <c r="F48" s="6">
        <v>99207</v>
      </c>
      <c r="G48" s="4">
        <v>99374</v>
      </c>
      <c r="H48" s="13"/>
      <c r="I48" s="13"/>
    </row>
    <row r="49" spans="1:9" x14ac:dyDescent="0.25">
      <c r="A49" s="4">
        <v>8</v>
      </c>
      <c r="B49" s="13"/>
      <c r="C49" s="15"/>
      <c r="D49" s="7">
        <v>11905000</v>
      </c>
      <c r="E49" s="5">
        <v>11895000</v>
      </c>
      <c r="F49" s="6">
        <v>99417</v>
      </c>
      <c r="G49" s="4">
        <v>99332</v>
      </c>
      <c r="H49" s="13"/>
      <c r="I49" s="13"/>
    </row>
    <row r="50" spans="1:9" x14ac:dyDescent="0.25">
      <c r="A50" s="4">
        <v>9</v>
      </c>
      <c r="B50" s="13"/>
      <c r="C50" s="15"/>
      <c r="D50" s="7">
        <v>11910000</v>
      </c>
      <c r="E50" s="5">
        <v>11920000</v>
      </c>
      <c r="F50" s="6">
        <v>99460</v>
      </c>
      <c r="G50" s="4">
        <v>99540</v>
      </c>
      <c r="H50" s="13"/>
      <c r="I50" s="13"/>
    </row>
    <row r="51" spans="1:9" x14ac:dyDescent="0.25">
      <c r="A51" s="8">
        <v>10</v>
      </c>
      <c r="B51" s="13"/>
      <c r="C51" s="16"/>
      <c r="D51" s="9">
        <v>11895000</v>
      </c>
      <c r="E51" s="10">
        <v>11905000</v>
      </c>
      <c r="F51" s="11">
        <v>99332</v>
      </c>
      <c r="G51" s="8">
        <v>99417</v>
      </c>
      <c r="H51" s="14"/>
      <c r="I51" s="14"/>
    </row>
    <row r="52" spans="1:9" x14ac:dyDescent="0.25">
      <c r="A52" s="4">
        <v>1</v>
      </c>
      <c r="B52" s="13"/>
      <c r="C52" s="12">
        <v>1500</v>
      </c>
      <c r="D52" s="5">
        <v>8210000</v>
      </c>
      <c r="E52" s="6">
        <v>8220000</v>
      </c>
      <c r="F52" s="6">
        <v>99781</v>
      </c>
      <c r="G52" s="4">
        <v>99902</v>
      </c>
      <c r="H52" s="12">
        <f>AVERAGE(G52:G61)/1000</f>
        <v>99.89</v>
      </c>
      <c r="I52" s="12">
        <f>AVERAGE(D52:D61)/B2</f>
        <v>513750</v>
      </c>
    </row>
    <row r="53" spans="1:9" x14ac:dyDescent="0.25">
      <c r="A53" s="4">
        <v>2</v>
      </c>
      <c r="B53" s="13"/>
      <c r="C53" s="13"/>
      <c r="D53" s="5">
        <v>8230000</v>
      </c>
      <c r="E53" s="6">
        <v>8215000</v>
      </c>
      <c r="F53" s="6">
        <v>100024</v>
      </c>
      <c r="G53" s="4">
        <v>99841</v>
      </c>
      <c r="H53" s="13"/>
      <c r="I53" s="13"/>
    </row>
    <row r="54" spans="1:9" x14ac:dyDescent="0.25">
      <c r="A54" s="4">
        <v>3</v>
      </c>
      <c r="B54" s="13"/>
      <c r="C54" s="13"/>
      <c r="D54" s="5">
        <v>8220000</v>
      </c>
      <c r="E54" s="6">
        <v>8225000</v>
      </c>
      <c r="F54" s="6">
        <v>99902</v>
      </c>
      <c r="G54" s="4">
        <v>99963</v>
      </c>
      <c r="H54" s="13"/>
      <c r="I54" s="13"/>
    </row>
    <row r="55" spans="1:9" x14ac:dyDescent="0.25">
      <c r="A55" s="4">
        <v>4</v>
      </c>
      <c r="B55" s="13"/>
      <c r="C55" s="13"/>
      <c r="D55" s="5">
        <v>8215000</v>
      </c>
      <c r="E55" s="6">
        <v>8210000</v>
      </c>
      <c r="F55" s="6">
        <v>99841</v>
      </c>
      <c r="G55" s="4">
        <v>99781</v>
      </c>
      <c r="H55" s="13"/>
      <c r="I55" s="13"/>
    </row>
    <row r="56" spans="1:9" x14ac:dyDescent="0.25">
      <c r="A56" s="4">
        <v>5</v>
      </c>
      <c r="B56" s="13"/>
      <c r="C56" s="13"/>
      <c r="D56" s="5">
        <v>8225000</v>
      </c>
      <c r="E56" s="6">
        <v>8230000</v>
      </c>
      <c r="F56" s="6">
        <v>99963</v>
      </c>
      <c r="G56" s="4">
        <v>100024</v>
      </c>
      <c r="H56" s="13"/>
      <c r="I56" s="13"/>
    </row>
    <row r="57" spans="1:9" x14ac:dyDescent="0.25">
      <c r="A57" s="4">
        <v>6</v>
      </c>
      <c r="B57" s="13"/>
      <c r="C57" s="13"/>
      <c r="D57" s="5">
        <v>8220000</v>
      </c>
      <c r="E57" s="6">
        <v>8215000</v>
      </c>
      <c r="F57" s="6">
        <v>99902</v>
      </c>
      <c r="G57" s="4">
        <v>99841</v>
      </c>
      <c r="H57" s="13"/>
      <c r="I57" s="13"/>
    </row>
    <row r="58" spans="1:9" x14ac:dyDescent="0.25">
      <c r="A58" s="4">
        <v>7</v>
      </c>
      <c r="B58" s="13"/>
      <c r="C58" s="13"/>
      <c r="D58" s="5">
        <v>8210000</v>
      </c>
      <c r="E58" s="6">
        <v>8220000</v>
      </c>
      <c r="F58" s="6">
        <v>99781</v>
      </c>
      <c r="G58" s="4">
        <v>99902</v>
      </c>
      <c r="H58" s="13"/>
      <c r="I58" s="13"/>
    </row>
    <row r="59" spans="1:9" x14ac:dyDescent="0.25">
      <c r="A59" s="4">
        <v>8</v>
      </c>
      <c r="B59" s="13"/>
      <c r="C59" s="15"/>
      <c r="D59" s="7">
        <v>8230000</v>
      </c>
      <c r="E59" s="5">
        <v>8225000</v>
      </c>
      <c r="F59" s="6">
        <v>100024</v>
      </c>
      <c r="G59" s="4">
        <v>99963</v>
      </c>
      <c r="H59" s="13"/>
      <c r="I59" s="13"/>
    </row>
    <row r="60" spans="1:9" x14ac:dyDescent="0.25">
      <c r="A60" s="4">
        <v>9</v>
      </c>
      <c r="B60" s="13"/>
      <c r="C60" s="15"/>
      <c r="D60" s="7">
        <v>8215000</v>
      </c>
      <c r="E60" s="5">
        <v>8210000</v>
      </c>
      <c r="F60" s="6">
        <v>99841</v>
      </c>
      <c r="G60" s="4">
        <v>99781</v>
      </c>
      <c r="H60" s="13"/>
      <c r="I60" s="13"/>
    </row>
    <row r="61" spans="1:9" x14ac:dyDescent="0.25">
      <c r="A61" s="8">
        <v>10</v>
      </c>
      <c r="B61" s="14"/>
      <c r="C61" s="16"/>
      <c r="D61" s="9">
        <v>8225000</v>
      </c>
      <c r="E61" s="10">
        <v>8220000</v>
      </c>
      <c r="F61" s="11">
        <v>99963</v>
      </c>
      <c r="G61" s="8">
        <v>99902</v>
      </c>
      <c r="H61" s="14"/>
      <c r="I61" s="14"/>
    </row>
  </sheetData>
  <mergeCells count="19">
    <mergeCell ref="C42:C51"/>
    <mergeCell ref="H42:H51"/>
    <mergeCell ref="I42:I51"/>
    <mergeCell ref="B2:B61"/>
    <mergeCell ref="C2:C11"/>
    <mergeCell ref="H2:H11"/>
    <mergeCell ref="I2:I11"/>
    <mergeCell ref="C12:C21"/>
    <mergeCell ref="H12:H21"/>
    <mergeCell ref="I12:I21"/>
    <mergeCell ref="C22:C31"/>
    <mergeCell ref="H22:H31"/>
    <mergeCell ref="I22:I31"/>
    <mergeCell ref="C52:C61"/>
    <mergeCell ref="H52:H61"/>
    <mergeCell ref="I52:I61"/>
    <mergeCell ref="C32:C41"/>
    <mergeCell ref="H32:H41"/>
    <mergeCell ref="I32:I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GSPN, Amith</dc:creator>
  <cp:lastModifiedBy>Gspn Amith</cp:lastModifiedBy>
  <dcterms:created xsi:type="dcterms:W3CDTF">2026-02-12T15:42:49Z</dcterms:created>
  <dcterms:modified xsi:type="dcterms:W3CDTF">2026-02-20T18:27:03Z</dcterms:modified>
</cp:coreProperties>
</file>